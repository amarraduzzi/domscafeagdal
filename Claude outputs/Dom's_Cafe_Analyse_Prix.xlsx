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alyse tarifs" sheetId="1" state="visible" r:id="rId3"/>
    <sheet name="Notes et methodologie"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<sst xmlns="http://schemas.openxmlformats.org/spreadsheetml/2006/main" count="385" uniqueCount="203">
  <si>
    <t xml:space="preserve">Categorie</t>
  </si>
  <si>
    <t xml:space="preserve">Article</t>
  </si>
  <si>
    <t xml:space="preserve">Prix actuel (MAD)</t>
  </si>
  <si>
    <t xml:space="preserve">Cout estime (MAD)</t>
  </si>
  <si>
    <t xml:space="preserve">Food cost actuel (%)</t>
  </si>
  <si>
    <t xml:space="preserve">Prix recommande (MAD)</t>
  </si>
  <si>
    <t xml:space="preserve">Food cost recommande (%)</t>
  </si>
  <si>
    <t xml:space="preserve">Variation (MAD)</t>
  </si>
  <si>
    <t xml:space="preserve">Prix a 30% food cost (MAD)</t>
  </si>
  <si>
    <t xml:space="preserve">Remarque</t>
  </si>
  <si>
    <t xml:space="preserve">Boissons chaudes</t>
  </si>
  <si>
    <t xml:space="preserve">Hot Milk (petit)</t>
  </si>
  <si>
    <t xml:space="preserve">n/a (boisson)</t>
  </si>
  <si>
    <t xml:space="preserve">Marge saine, aucun changement.</t>
  </si>
  <si>
    <t xml:space="preserve">Hot Milk (grand)</t>
  </si>
  <si>
    <t xml:space="preserve">Black Coffee</t>
  </si>
  <si>
    <t xml:space="preserve">Americano Coffee</t>
  </si>
  <si>
    <t xml:space="preserve">Coffee with Milk</t>
  </si>
  <si>
    <t xml:space="preserve">Hot Chocolate</t>
  </si>
  <si>
    <t xml:space="preserve">Nespresso</t>
  </si>
  <si>
    <t xml:space="preserve">Dosette plus chere, marge encore correcte.</t>
  </si>
  <si>
    <t xml:space="preserve">Double Espresso</t>
  </si>
  <si>
    <t xml:space="preserve">Cappuccino</t>
  </si>
  <si>
    <t xml:space="preserve">Marge saine, article populaire.</t>
  </si>
  <si>
    <t xml:space="preserve">Frappuccino</t>
  </si>
  <si>
    <t xml:space="preserve">Mocaccino</t>
  </si>
  <si>
    <t xml:space="preserve">Old-school Hot Chocolate</t>
  </si>
  <si>
    <t xml:space="preserve">Moroccan Mint Tea</t>
  </si>
  <si>
    <t xml:space="preserve">Verbena Herbal Tea</t>
  </si>
  <si>
    <t xml:space="preserve">Black Tea</t>
  </si>
  <si>
    <t xml:space="preserve">Flavored Tea</t>
  </si>
  <si>
    <t xml:space="preserve">Cocktails &amp; Jus</t>
  </si>
  <si>
    <t xml:space="preserve">Fruit Garden</t>
  </si>
  <si>
    <t xml:space="preserve">Melange de fruits varies, cout plus eleve qu'un jus simple.</t>
  </si>
  <si>
    <t xml:space="preserve">Exotic Cocktail</t>
  </si>
  <si>
    <t xml:space="preserve">Mangue et ananas couteux a l'achat.</t>
  </si>
  <si>
    <t xml:space="preserve">Amandine</t>
  </si>
  <si>
    <t xml:space="preserve">Avocat + amande + noix: article populaire le plus sous-evalue de la categorie.</t>
  </si>
  <si>
    <t xml:space="preserve">Pina Colada (Virgin)</t>
  </si>
  <si>
    <t xml:space="preserve">Leger ajustement.</t>
  </si>
  <si>
    <t xml:space="preserve">Orange Juice</t>
  </si>
  <si>
    <t xml:space="preserve">Lemon Juice</t>
  </si>
  <si>
    <t xml:space="preserve">Tres bonne marge, aucun changement.</t>
  </si>
  <si>
    <t xml:space="preserve">Carrot Juice</t>
  </si>
  <si>
    <t xml:space="preserve">Banana Juice</t>
  </si>
  <si>
    <t xml:space="preserve">Strawberry Juice</t>
  </si>
  <si>
    <t xml:space="preserve">Fraises plus cheres, surtout hors saison.</t>
  </si>
  <si>
    <t xml:space="preserve">Lemon Ginger</t>
  </si>
  <si>
    <t xml:space="preserve">Pineapple Juice</t>
  </si>
  <si>
    <t xml:space="preserve">Marge correcte, limite mais laisser.</t>
  </si>
  <si>
    <t xml:space="preserve">Avocado with Milk</t>
  </si>
  <si>
    <t xml:space="preserve">Avocat plus cher que la moyenne des fruits.</t>
  </si>
  <si>
    <t xml:space="preserve">Mango Juice</t>
  </si>
  <si>
    <t xml:space="preserve">Mangue couteuse a l'achat.</t>
  </si>
  <si>
    <t xml:space="preserve">Panache</t>
  </si>
  <si>
    <t xml:space="preserve">Avocado with Dried Fruits</t>
  </si>
  <si>
    <t xml:space="preserve">Avocat + dattes + amandes + noix: l'article le plus cher a produire de la categorie.</t>
  </si>
  <si>
    <t xml:space="preserve">Boissons froides</t>
  </si>
  <si>
    <t xml:space="preserve">Mineral Water</t>
  </si>
  <si>
    <t xml:space="preserve">Marge correcte pour de l'eau en bouteille.</t>
  </si>
  <si>
    <t xml:space="preserve">Soda</t>
  </si>
  <si>
    <t xml:space="preserve">Doublon: 'Soda' apparait deux fois dans cette categorie (memes valeurs), a nettoyer cote donnees.</t>
  </si>
  <si>
    <t xml:space="preserve">Oulmes Sparkling</t>
  </si>
  <si>
    <t xml:space="preserve">Virgin Mojito</t>
  </si>
  <si>
    <t xml:space="preserve">Iced Coffee</t>
  </si>
  <si>
    <t xml:space="preserve">Red Bull</t>
  </si>
  <si>
    <t xml:space="preserve">Canette importee couteuse a l'achat, marge plus fine que les autres boissons.</t>
  </si>
  <si>
    <t xml:space="preserve">Doublon, voir ligne ci-dessus.</t>
  </si>
  <si>
    <t xml:space="preserve">Petits-dejeuners</t>
  </si>
  <si>
    <t xml:space="preserve">The Express</t>
  </si>
  <si>
    <t xml:space="preserve">Formule avec oeufs + jus frais, marge un peu juste.</t>
  </si>
  <si>
    <t xml:space="preserve">Continental</t>
  </si>
  <si>
    <t xml:space="preserve">Beaucoup d'elements inclus (toast, viennoiserie, confiture, beurre, miel) pour un prix qui ne suit pas.</t>
  </si>
  <si>
    <t xml:space="preserve">Dom's Breakfast</t>
  </si>
  <si>
    <t xml:space="preserve">Charcuterie + fromage + oeufs + jus: cout eleve pour ce prix.</t>
  </si>
  <si>
    <t xml:space="preserve">Jebli</t>
  </si>
  <si>
    <t xml:space="preserve">Le khlii coute cher, formule sous-evaluee.</t>
  </si>
  <si>
    <t xml:space="preserve">Chamalli</t>
  </si>
  <si>
    <t xml:space="preserve">La formule la plus complete de la carte (9 composants), et la plus sous-evaluee en proportion.</t>
  </si>
  <si>
    <t xml:space="preserve">Omelettes</t>
  </si>
  <si>
    <t xml:space="preserve">Plain Omelette</t>
  </si>
  <si>
    <t xml:space="preserve">Cheese Omelette</t>
  </si>
  <si>
    <t xml:space="preserve">Mushroom Omelette</t>
  </si>
  <si>
    <t xml:space="preserve">Cold Cuts Omelette</t>
  </si>
  <si>
    <t xml:space="preserve">Marge correcte, aucun changement.</t>
  </si>
  <si>
    <t xml:space="preserve">Cheese &amp; Cold Cuts Omelette</t>
  </si>
  <si>
    <t xml:space="preserve">Deux garnitures combinees, leger ajustement pour suivre le cout.</t>
  </si>
  <si>
    <t xml:space="preserve">Khlii with Eggs</t>
  </si>
  <si>
    <t xml:space="preserve">Khlii plus cher que la charcuterie classique, article populaire a reajuster legerement.</t>
  </si>
  <si>
    <t xml:space="preserve">Toasts</t>
  </si>
  <si>
    <t xml:space="preserve">Cheese Toast</t>
  </si>
  <si>
    <t xml:space="preserve">Croque Monsieur</t>
  </si>
  <si>
    <t xml:space="preserve">Cold Cuts &amp; Cheese Toast</t>
  </si>
  <si>
    <t xml:space="preserve">Eggs, Cold Cuts &amp; Cheese Toast</t>
  </si>
  <si>
    <t xml:space="preserve">Trois garnitures superposees, prix a ajuster pour suivre le cout.</t>
  </si>
  <si>
    <t xml:space="preserve">Viennoiseries</t>
  </si>
  <si>
    <t xml:space="preserve">Pain au Chocolat</t>
  </si>
  <si>
    <t xml:space="preserve">Prix aligne sur le marche local pour ce type de produit.</t>
  </si>
  <si>
    <t xml:space="preserve">Raisin Pastry</t>
  </si>
  <si>
    <t xml:space="preserve">Croissant</t>
  </si>
  <si>
    <t xml:space="preserve">Swiss Pastry</t>
  </si>
  <si>
    <t xml:space="preserve">Crepes sucrees</t>
  </si>
  <si>
    <t xml:space="preserve">Honey Crepe</t>
  </si>
  <si>
    <t xml:space="preserve">Jam Crepe</t>
  </si>
  <si>
    <t xml:space="preserve">Nutella Crepe</t>
  </si>
  <si>
    <t xml:space="preserve">Tres bonne marge, article populaire.</t>
  </si>
  <si>
    <t xml:space="preserve">Banana Nutella Crepe</t>
  </si>
  <si>
    <t xml:space="preserve">Nutella &amp; Walnut Crepe</t>
  </si>
  <si>
    <t xml:space="preserve">Bonne marge, aucun changement.</t>
  </si>
  <si>
    <t xml:space="preserve">Crepes salees</t>
  </si>
  <si>
    <t xml:space="preserve">3 Cheese Crepe</t>
  </si>
  <si>
    <t xml:space="preserve">Cold Cuts Crepe</t>
  </si>
  <si>
    <t xml:space="preserve">Chicken Crepe</t>
  </si>
  <si>
    <t xml:space="preserve">Minced Beef Crepe</t>
  </si>
  <si>
    <t xml:space="preserve">Pizzas (menu papier en salle)</t>
  </si>
  <si>
    <t xml:space="preserve">Margarita</t>
  </si>
  <si>
    <t xml:space="preserve">Mozzarella, sauce tomate, olives noires, basilic. Marge saine, aucun changement.</t>
  </si>
  <si>
    <t xml:space="preserve">Vegetarienne</t>
  </si>
  <si>
    <t xml:space="preserve">Mozzarella, sauce tomate, legumes de saison. Marge saine, aucun changement.</t>
  </si>
  <si>
    <t xml:space="preserve">Thons</t>
  </si>
  <si>
    <t xml:space="preserve">Mozzarella, thon, poivrons, olives noires. Marge saine, aucun changement.</t>
  </si>
  <si>
    <t xml:space="preserve">Pollo</t>
  </si>
  <si>
    <t xml:space="preserve">Mozzarella, poulet, poivrons, champignons, sauce tomate. Marge correcte, aucun changement.</t>
  </si>
  <si>
    <t xml:space="preserve">Americaine</t>
  </si>
  <si>
    <t xml:space="preserve">Mozzarella, pepperoni (boeuf halal), sauce tomate, olives noires. Marge correcte, aucun changement.</t>
  </si>
  <si>
    <t xml:space="preserve">Vivanda</t>
  </si>
  <si>
    <t xml:space="preserve">Mozzarella, viande hachee, champignons, poivrons, sauce tomate, olives noires. Cout un peu eleve pour ce prix, leger ajustement.</t>
  </si>
  <si>
    <t xml:space="preserve">Quatre fromages</t>
  </si>
  <si>
    <t xml:space="preserve">Edam, bleu, brie, mozzarella, creme fraiche: le brie et le bleu sont des fromages importes couteux, formule sous-evaluee.</t>
  </si>
  <si>
    <t xml:space="preserve">Fisherman</t>
  </si>
  <si>
    <t xml:space="preserve">Crevette, calamar, surimi: fruits de mer couteux a l'achat, meme constat que Fisherman Salad et Fisherman Pasta plus haut.</t>
  </si>
  <si>
    <t xml:space="preserve">Quatre saisons</t>
  </si>
  <si>
    <t xml:space="preserve">'Composer votre pizza': cout variable selon garnitures choisies, prix actuel raisonnable en moyenne.</t>
  </si>
  <si>
    <t xml:space="preserve">Sandwiches</t>
  </si>
  <si>
    <t xml:space="preserve">Tuna Sandwich</t>
  </si>
  <si>
    <t xml:space="preserve">Voir echange precedent: legere hausse pour retrouver une marge normale.</t>
  </si>
  <si>
    <t xml:space="preserve">Dom's Special Sandwich</t>
  </si>
  <si>
    <t xml:space="preserve">Trois protéines (thon, salami, jambon de boeuf), le sandwich le plus sous-evalue de toute la carte.</t>
  </si>
  <si>
    <t xml:space="preserve">Chicken Sandwich</t>
  </si>
  <si>
    <t xml:space="preserve">Ajustement pour suivre le cout du poulet.</t>
  </si>
  <si>
    <t xml:space="preserve">Kefta Sandwich</t>
  </si>
  <si>
    <t xml:space="preserve">Le boeuf hache coute plus cher, prix a suivre.</t>
  </si>
  <si>
    <t xml:space="preserve">Sandwich Menu (frites + soda)</t>
  </si>
  <si>
    <t xml:space="preserve">Prix sandwich + 8</t>
  </si>
  <si>
    <t xml:space="preserve">Variable</t>
  </si>
  <si>
    <t xml:space="preserve">Remplacer le prix fixe par 'prix du sandwich choisi + 8 MAD': la formule actuelle donne le meme supplement (frites deja incluses + soda) quel que soit le sandwich, ce qui favorise le choix le moins cher.</t>
  </si>
  <si>
    <t xml:space="preserve">Tacos</t>
  </si>
  <si>
    <t xml:space="preserve">Chicken Tacos</t>
  </si>
  <si>
    <t xml:space="preserve">Minced Beef Tacos</t>
  </si>
  <si>
    <t xml:space="preserve">Le boeuf hache coute plus cher que le poulet mais vendu au meme prix que les autres tacos.</t>
  </si>
  <si>
    <t xml:space="preserve">Nuggets Tacos</t>
  </si>
  <si>
    <t xml:space="preserve">Garniture la moins chere de la categorie, prix pourrait meme legerement baisser.</t>
  </si>
  <si>
    <t xml:space="preserve">Cordon Bleu Tacos</t>
  </si>
  <si>
    <t xml:space="preserve">Cordon bleu plus cher que le poulet nature.</t>
  </si>
  <si>
    <t xml:space="preserve">Tacos Menu (frites + soda)</t>
  </si>
  <si>
    <t xml:space="preserve">Prix tacos + 8</t>
  </si>
  <si>
    <t xml:space="preserve">Meme souci que pour les sandwiches: +4 MAD seulement pour un soda qui coute 16 MAD vendu seul.</t>
  </si>
  <si>
    <t xml:space="preserve">Pasticcio</t>
  </si>
  <si>
    <t xml:space="preserve">Chicken Pasticcio</t>
  </si>
  <si>
    <t xml:space="preserve">Ham Pasticcio</t>
  </si>
  <si>
    <t xml:space="preserve">Minced Beef Pasticcio</t>
  </si>
  <si>
    <t xml:space="preserve">Mixed Pasticcio</t>
  </si>
  <si>
    <t xml:space="preserve">Trois viandes combinees, meme souci que Dom's Special: cout plus eleve non repercute.</t>
  </si>
  <si>
    <t xml:space="preserve">Burgers</t>
  </si>
  <si>
    <t xml:space="preserve">Chicken Burger</t>
  </si>
  <si>
    <t xml:space="preserve">Beef Burger</t>
  </si>
  <si>
    <t xml:space="preserve">Eggs Burger</t>
  </si>
  <si>
    <t xml:space="preserve">Double Cheese Burger</t>
  </si>
  <si>
    <t xml:space="preserve">Salades</t>
  </si>
  <si>
    <t xml:space="preserve">Moroccan Salad</t>
  </si>
  <si>
    <t xml:space="preserve">Nicoise Salad</t>
  </si>
  <si>
    <t xml:space="preserve">Beaucoup d'ingredients, leger ajustement.</t>
  </si>
  <si>
    <t xml:space="preserve">Dom's Salad</t>
  </si>
  <si>
    <t xml:space="preserve">Poulet + thon + edam combines, article populaire mais marge a resserrer.</t>
  </si>
  <si>
    <t xml:space="preserve">Rio Salad</t>
  </si>
  <si>
    <t xml:space="preserve">Crevettes, brie et avocat: la salade la plus couteuse a produire, largement sous-evaluee.</t>
  </si>
  <si>
    <t xml:space="preserve">Fisherman Salad</t>
  </si>
  <si>
    <t xml:space="preserve">Fruits de mer couteux a l'achat.</t>
  </si>
  <si>
    <t xml:space="preserve">Pates</t>
  </si>
  <si>
    <t xml:space="preserve">Chicken Pasta</t>
  </si>
  <si>
    <t xml:space="preserve">Bolognese Pasta</t>
  </si>
  <si>
    <t xml:space="preserve">Carbonara Pasta</t>
  </si>
  <si>
    <t xml:space="preserve">Fisherman Pasta</t>
  </si>
  <si>
    <t xml:space="preserve">Crevettes, calamars et moules: cout nettement plus eleve que les autres pates.</t>
  </si>
  <si>
    <t xml:space="preserve">Sliced Chicken Breast</t>
  </si>
  <si>
    <t xml:space="preserve">Deja bien positionne, aucun changement.</t>
  </si>
  <si>
    <t xml:space="preserve">Desserts</t>
  </si>
  <si>
    <t xml:space="preserve">Creme Caramel</t>
  </si>
  <si>
    <t xml:space="preserve">Tart of the Day</t>
  </si>
  <si>
    <t xml:space="preserve">Pastry of the Day</t>
  </si>
  <si>
    <t xml:space="preserve">Methodologie</t>
  </si>
  <si>
    <t xml:space="preserve">Les prix actuels (colonne C) sont les prix reels en ligne sur domscafe.pages.dev/menu, releves le 2026-09-05.</t>
  </si>
  <si>
    <t xml:space="preserve">Les couts estimes (colonne D, en bleu) sont des ESTIMATIONS basees sur des prix de gros courants au Maroc pour chaque ingredient, pas des factures fournisseurs reelles. A verifier et ajuster avec les vrais couts d'achat de Dom's.</t>
  </si>
  <si>
    <t xml:space="preserve">La cible utilisee est un food cost d'environ 30 a 35% pour les plats, ce qui est un standard courant en restauration casual. Les boissons ont naturellement un food cost plus bas (10 a 25%) car le cout des ingredients est tres faible.</t>
  </si>
  <si>
    <t xml:space="preserve">Les prix recommandes (colonne F, en bleu) sont arrondis a des valeurs pratiques pour une carte marocaine (multiples de 1 ou 2 MAD). Ce sont des points de depart a valider avec le client, pas des prix definitifs.</t>
  </si>
  <si>
    <t xml:space="preserve">Nouvelle colonne 'Prix a 30% food cost' (colonne I): calcule mecaniquement le prix qui donnerait exactement 30% de food cost sur base du cout estime (Cout estime / 0.3). C'est une reference theorique stricte a 30%, differente de la colonne 'Prix recommande' qui utilise une fourchette de 30 a 35% et des arrondis pratiques. Non applicable aux boissons (marquee 'n/a').</t>
  </si>
  <si>
    <t xml:space="preserve">Pour 'Sandwich Menu' et 'Tacos Menu': le prix recommande n'est pas un montant fixe. Le probleme actuel est qu'un supplement fixe (friture + soda) coute pareil quel que soit le sandwich/tacos choisi, ce qui incite a prendre l'option la moins chere. Corriger cela en indexant le supplement sur le prix de base (+8 MAD) plutot qu'en fixant un prix menu unique.</t>
  </si>
  <si>
    <t xml:space="preserve">A verifier avec le client</t>
  </si>
  <si>
    <t xml:space="preserve">La liste des 8 pizzas du site de commande en ligne (Rabat Nights, Margherita Superiore, Manzo Ricco, Tuna Riviera, Poulet Chermoula, Merguez Piquante, El Reto, Quattro Formaggi Nobile) a ete retiree de ce fichier a la demande d'Amar. Seule la categorie 'Pizzas (menu papier en salle)' (Margarita, Vegetarienne, Thons, Pollo, Americaine, Vivanda, Quatre fromages, Fisherman, Quatre saisons), qui vient d'une photo du menu papier actuellement utilise en salle, reste dans ce fichier. A noter: ces deux listes de pizzas restent completement differentes l'une de l'autre (noms, ingredients, prix) dans les systemes de Dom's, ce qui merite d'etre clarifie avec le client.</t>
  </si>
  <si>
    <t xml:space="preserve">Legende des couleurs</t>
  </si>
  <si>
    <t xml:space="preserve">Texte bleu = estimation ou recommandation (a valider / modifiable).</t>
  </si>
  <si>
    <t xml:space="preserve">Texte noir = donnee source (prix reel du site) ou formule calculee automatiquement.</t>
  </si>
  <si>
    <t xml:space="preserve">Fond beige clair = article marque 'popular' sur le site actuel.</t>
  </si>
</sst>
</file>

<file path=xl/styles.xml><?xml version="1.0" encoding="utf-8"?>
<styleSheet xmlns="http://schemas.openxmlformats.org/spreadsheetml/2006/main">
  <numFmts count="5">
    <numFmt numFmtId="164" formatCode="General"/>
    <numFmt numFmtId="165" formatCode="#,##0&quot; MAD&quot;"/>
    <numFmt numFmtId="166" formatCode="#,##0.0&quot; MAD&quot;"/>
    <numFmt numFmtId="167" formatCode="0%"/>
    <numFmt numFmtId="168" formatCode="\+#,##0&quot; MAD&quot;;\-#,##0&quot; MAD&quot;;&quot;0 MAD&quot;"/>
  </numFmts>
  <fonts count="10">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1"/>
      <color rgb="FF000000"/>
      <name val="Arial"/>
      <family val="0"/>
      <charset val="1"/>
    </font>
    <font>
      <sz val="11"/>
      <color rgb="FF0000FF"/>
      <name val="Arial"/>
      <family val="0"/>
      <charset val="1"/>
    </font>
    <font>
      <i val="true"/>
      <sz val="11"/>
      <color rgb="FF8A8378"/>
      <name val="Arial"/>
      <family val="0"/>
      <charset val="1"/>
    </font>
    <font>
      <b val="true"/>
      <sz val="13"/>
      <color rgb="FF4A2E1F"/>
      <name val="Arial"/>
      <family val="0"/>
      <charset val="1"/>
    </font>
    <font>
      <sz val="11"/>
      <name val="Arial"/>
      <family val="0"/>
      <charset val="1"/>
    </font>
  </fonts>
  <fills count="4">
    <fill>
      <patternFill patternType="none"/>
    </fill>
    <fill>
      <patternFill patternType="gray125"/>
    </fill>
    <fill>
      <patternFill patternType="solid">
        <fgColor rgb="FF4A2E1F"/>
        <bgColor rgb="FF333300"/>
      </patternFill>
    </fill>
    <fill>
      <patternFill patternType="solid">
        <fgColor rgb="FFFFF6E0"/>
        <bgColor rgb="FFFFFFFF"/>
      </patternFill>
    </fill>
  </fills>
  <borders count="2">
    <border diagonalUp="false" diagonalDown="false">
      <left/>
      <right/>
      <top/>
      <bottom/>
      <diagonal/>
    </border>
    <border diagonalUp="false" diagonalDown="false">
      <left style="thin">
        <color rgb="FFD9D0C7"/>
      </left>
      <right style="thin">
        <color rgb="FFD9D0C7"/>
      </right>
      <top style="thin">
        <color rgb="FFD9D0C7"/>
      </top>
      <bottom style="thin">
        <color rgb="FFD9D0C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false" indent="0" shrinkToFit="false"/>
      <protection locked="true" hidden="false"/>
    </xf>
    <xf numFmtId="165" fontId="5" fillId="0" borderId="1" xfId="0" applyFont="true" applyBorder="true" applyAlignment="true" applyProtection="false">
      <alignment horizontal="general" vertical="center" textRotation="0" wrapText="false" indent="0" shrinkToFit="false"/>
      <protection locked="true" hidden="false"/>
    </xf>
    <xf numFmtId="166" fontId="6" fillId="0" borderId="1" xfId="0" applyFont="true" applyBorder="true" applyAlignment="true" applyProtection="false">
      <alignment horizontal="general" vertical="center" textRotation="0" wrapText="false" indent="0" shrinkToFit="false"/>
      <protection locked="true" hidden="false"/>
    </xf>
    <xf numFmtId="167" fontId="5" fillId="0" borderId="1" xfId="0" applyFont="true" applyBorder="true" applyAlignment="true" applyProtection="false">
      <alignment horizontal="general" vertical="center" textRotation="0" wrapText="false" indent="0" shrinkToFit="false"/>
      <protection locked="true" hidden="false"/>
    </xf>
    <xf numFmtId="165" fontId="6" fillId="0" borderId="1" xfId="0" applyFont="true" applyBorder="true" applyAlignment="true" applyProtection="false">
      <alignment horizontal="general" vertical="center" textRotation="0" wrapText="false" indent="0" shrinkToFit="false"/>
      <protection locked="true" hidden="false"/>
    </xf>
    <xf numFmtId="168" fontId="5" fillId="0" borderId="1" xfId="0" applyFont="true" applyBorder="true" applyAlignment="true" applyProtection="false">
      <alignment horizontal="general"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fals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center" textRotation="0" wrapText="false" indent="0" shrinkToFit="false"/>
      <protection locked="true" hidden="false"/>
    </xf>
    <xf numFmtId="165" fontId="5" fillId="3" borderId="1" xfId="0" applyFont="true" applyBorder="true" applyAlignment="true" applyProtection="false">
      <alignment horizontal="general" vertical="center" textRotation="0" wrapText="false" indent="0" shrinkToFit="false"/>
      <protection locked="true" hidden="false"/>
    </xf>
    <xf numFmtId="166" fontId="6" fillId="3" borderId="1" xfId="0" applyFont="true" applyBorder="true" applyAlignment="true" applyProtection="false">
      <alignment horizontal="general" vertical="center" textRotation="0" wrapText="false" indent="0" shrinkToFit="false"/>
      <protection locked="true" hidden="false"/>
    </xf>
    <xf numFmtId="167" fontId="5" fillId="3" borderId="1" xfId="0" applyFont="true" applyBorder="true" applyAlignment="true" applyProtection="false">
      <alignment horizontal="general" vertical="center" textRotation="0" wrapText="false" indent="0" shrinkToFit="false"/>
      <protection locked="true" hidden="false"/>
    </xf>
    <xf numFmtId="165" fontId="6" fillId="3" borderId="1" xfId="0" applyFont="true" applyBorder="true" applyAlignment="true" applyProtection="false">
      <alignment horizontal="general" vertical="center" textRotation="0" wrapText="false" indent="0" shrinkToFit="false"/>
      <protection locked="true" hidden="false"/>
    </xf>
    <xf numFmtId="168" fontId="5" fillId="3" borderId="1" xfId="0" applyFont="true" applyBorder="true" applyAlignment="true" applyProtection="false">
      <alignment horizontal="general" vertical="center" textRotation="0" wrapText="false" indent="0" shrinkToFit="false"/>
      <protection locked="true" hidden="false"/>
    </xf>
    <xf numFmtId="164" fontId="7" fillId="3" borderId="1" xfId="0" applyFont="true" applyBorder="true" applyAlignment="true" applyProtection="false">
      <alignment horizontal="general" vertical="center" textRotation="0" wrapText="false" indent="0" shrinkToFit="false"/>
      <protection locked="true" hidden="false"/>
    </xf>
    <xf numFmtId="164" fontId="5" fillId="3"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0C7"/>
      <rgbColor rgb="FF8A8378"/>
      <rgbColor rgb="FF9999FF"/>
      <rgbColor rgb="FF993366"/>
      <rgbColor rgb="FFFFF6E0"/>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A2E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0"/>
    <col collapsed="false" customWidth="true" hidden="false" outlineLevel="0" max="4" min="3" style="0" width="15"/>
    <col collapsed="false" customWidth="true" hidden="false" outlineLevel="0" max="5" min="5" style="0" width="16"/>
    <col collapsed="false" customWidth="true" hidden="false" outlineLevel="0" max="6" min="6" style="0" width="17"/>
    <col collapsed="false" customWidth="true" hidden="false" outlineLevel="0" max="7" min="7" style="0" width="18"/>
    <col collapsed="false" customWidth="true" hidden="false" outlineLevel="0" max="8" min="8" style="0" width="14"/>
    <col collapsed="false" customWidth="true" hidden="false" outlineLevel="0" max="9" min="9" style="0" width="20"/>
    <col collapsed="false" customWidth="true" hidden="false" outlineLevel="0" max="10" min="10" style="0" width="55"/>
  </cols>
  <sheetData>
    <row r="1" customFormat="false" ht="31.5" hidden="false" customHeight="true" outlineLevel="0" collapsed="false">
      <c r="A1" s="1" t="s">
        <v>0</v>
      </c>
      <c r="B1" s="1" t="s">
        <v>1</v>
      </c>
      <c r="C1" s="1" t="s">
        <v>2</v>
      </c>
      <c r="D1" s="1" t="s">
        <v>3</v>
      </c>
      <c r="E1" s="1" t="s">
        <v>4</v>
      </c>
      <c r="F1" s="1" t="s">
        <v>5</v>
      </c>
      <c r="G1" s="1" t="s">
        <v>6</v>
      </c>
      <c r="H1" s="1" t="s">
        <v>7</v>
      </c>
      <c r="I1" s="1" t="s">
        <v>8</v>
      </c>
      <c r="J1" s="1" t="s">
        <v>9</v>
      </c>
    </row>
    <row r="2" customFormat="false" ht="30" hidden="false" customHeight="true" outlineLevel="0" collapsed="false">
      <c r="A2" s="2" t="s">
        <v>10</v>
      </c>
      <c r="B2" s="2" t="s">
        <v>11</v>
      </c>
      <c r="C2" s="3" t="n">
        <v>12</v>
      </c>
      <c r="D2" s="4" t="n">
        <v>2</v>
      </c>
      <c r="E2" s="5" t="n">
        <f aca="false">D2/C2</f>
        <v>0.166666666666667</v>
      </c>
      <c r="F2" s="6" t="n">
        <v>12</v>
      </c>
      <c r="G2" s="5" t="n">
        <f aca="false">D2/F2</f>
        <v>0.166666666666667</v>
      </c>
      <c r="H2" s="7" t="n">
        <f aca="false">F2-C2</f>
        <v>0</v>
      </c>
      <c r="I2" s="8" t="s">
        <v>12</v>
      </c>
      <c r="J2" s="9" t="s">
        <v>13</v>
      </c>
    </row>
    <row r="3" customFormat="false" ht="30" hidden="false" customHeight="true" outlineLevel="0" collapsed="false">
      <c r="A3" s="2" t="s">
        <v>10</v>
      </c>
      <c r="B3" s="2" t="s">
        <v>14</v>
      </c>
      <c r="C3" s="3" t="n">
        <v>14</v>
      </c>
      <c r="D3" s="4" t="n">
        <v>2.5</v>
      </c>
      <c r="E3" s="5" t="n">
        <f aca="false">D3/C3</f>
        <v>0.178571428571429</v>
      </c>
      <c r="F3" s="6" t="n">
        <v>14</v>
      </c>
      <c r="G3" s="5" t="n">
        <f aca="false">D3/F3</f>
        <v>0.178571428571429</v>
      </c>
      <c r="H3" s="7" t="n">
        <f aca="false">F3-C3</f>
        <v>0</v>
      </c>
      <c r="I3" s="8" t="s">
        <v>12</v>
      </c>
      <c r="J3" s="9" t="s">
        <v>13</v>
      </c>
    </row>
    <row r="4" customFormat="false" ht="30" hidden="false" customHeight="true" outlineLevel="0" collapsed="false">
      <c r="A4" s="2" t="s">
        <v>10</v>
      </c>
      <c r="B4" s="2" t="s">
        <v>15</v>
      </c>
      <c r="C4" s="3" t="n">
        <v>16</v>
      </c>
      <c r="D4" s="4" t="n">
        <v>1.5</v>
      </c>
      <c r="E4" s="5" t="n">
        <f aca="false">D4/C4</f>
        <v>0.09375</v>
      </c>
      <c r="F4" s="6" t="n">
        <v>16</v>
      </c>
      <c r="G4" s="5" t="n">
        <f aca="false">D4/F4</f>
        <v>0.09375</v>
      </c>
      <c r="H4" s="7" t="n">
        <f aca="false">F4-C4</f>
        <v>0</v>
      </c>
      <c r="I4" s="8" t="s">
        <v>12</v>
      </c>
      <c r="J4" s="9" t="s">
        <v>13</v>
      </c>
    </row>
    <row r="5" customFormat="false" ht="30" hidden="false" customHeight="true" outlineLevel="0" collapsed="false">
      <c r="A5" s="2" t="s">
        <v>10</v>
      </c>
      <c r="B5" s="2" t="s">
        <v>16</v>
      </c>
      <c r="C5" s="3" t="n">
        <v>16</v>
      </c>
      <c r="D5" s="4" t="n">
        <v>1.5</v>
      </c>
      <c r="E5" s="5" t="n">
        <f aca="false">D5/C5</f>
        <v>0.09375</v>
      </c>
      <c r="F5" s="6" t="n">
        <v>16</v>
      </c>
      <c r="G5" s="5" t="n">
        <f aca="false">D5/F5</f>
        <v>0.09375</v>
      </c>
      <c r="H5" s="7" t="n">
        <f aca="false">F5-C5</f>
        <v>0</v>
      </c>
      <c r="I5" s="8" t="s">
        <v>12</v>
      </c>
      <c r="J5" s="9" t="s">
        <v>13</v>
      </c>
    </row>
    <row r="6" customFormat="false" ht="30" hidden="false" customHeight="true" outlineLevel="0" collapsed="false">
      <c r="A6" s="2" t="s">
        <v>10</v>
      </c>
      <c r="B6" s="2" t="s">
        <v>17</v>
      </c>
      <c r="C6" s="3" t="n">
        <v>18</v>
      </c>
      <c r="D6" s="4" t="n">
        <v>2.5</v>
      </c>
      <c r="E6" s="5" t="n">
        <f aca="false">D6/C6</f>
        <v>0.138888888888889</v>
      </c>
      <c r="F6" s="6" t="n">
        <v>18</v>
      </c>
      <c r="G6" s="5" t="n">
        <f aca="false">D6/F6</f>
        <v>0.138888888888889</v>
      </c>
      <c r="H6" s="7" t="n">
        <f aca="false">F6-C6</f>
        <v>0</v>
      </c>
      <c r="I6" s="8" t="s">
        <v>12</v>
      </c>
      <c r="J6" s="9" t="s">
        <v>13</v>
      </c>
    </row>
    <row r="7" customFormat="false" ht="30" hidden="false" customHeight="true" outlineLevel="0" collapsed="false">
      <c r="A7" s="2" t="s">
        <v>10</v>
      </c>
      <c r="B7" s="2" t="s">
        <v>18</v>
      </c>
      <c r="C7" s="3" t="n">
        <v>24</v>
      </c>
      <c r="D7" s="4" t="n">
        <v>4</v>
      </c>
      <c r="E7" s="5" t="n">
        <f aca="false">D7/C7</f>
        <v>0.166666666666667</v>
      </c>
      <c r="F7" s="6" t="n">
        <v>24</v>
      </c>
      <c r="G7" s="5" t="n">
        <f aca="false">D7/F7</f>
        <v>0.166666666666667</v>
      </c>
      <c r="H7" s="7" t="n">
        <f aca="false">F7-C7</f>
        <v>0</v>
      </c>
      <c r="I7" s="8" t="s">
        <v>12</v>
      </c>
      <c r="J7" s="9" t="s">
        <v>13</v>
      </c>
    </row>
    <row r="8" customFormat="false" ht="30" hidden="false" customHeight="true" outlineLevel="0" collapsed="false">
      <c r="A8" s="2" t="s">
        <v>10</v>
      </c>
      <c r="B8" s="2" t="s">
        <v>19</v>
      </c>
      <c r="C8" s="3" t="n">
        <v>19</v>
      </c>
      <c r="D8" s="4" t="n">
        <v>5</v>
      </c>
      <c r="E8" s="5" t="n">
        <f aca="false">D8/C8</f>
        <v>0.263157894736842</v>
      </c>
      <c r="F8" s="6" t="n">
        <v>19</v>
      </c>
      <c r="G8" s="5" t="n">
        <f aca="false">D8/F8</f>
        <v>0.263157894736842</v>
      </c>
      <c r="H8" s="7" t="n">
        <f aca="false">F8-C8</f>
        <v>0</v>
      </c>
      <c r="I8" s="8" t="s">
        <v>12</v>
      </c>
      <c r="J8" s="9" t="s">
        <v>20</v>
      </c>
    </row>
    <row r="9" customFormat="false" ht="30" hidden="false" customHeight="true" outlineLevel="0" collapsed="false">
      <c r="A9" s="2" t="s">
        <v>10</v>
      </c>
      <c r="B9" s="2" t="s">
        <v>21</v>
      </c>
      <c r="C9" s="3" t="n">
        <v>24</v>
      </c>
      <c r="D9" s="4" t="n">
        <v>3</v>
      </c>
      <c r="E9" s="5" t="n">
        <f aca="false">D9/C9</f>
        <v>0.125</v>
      </c>
      <c r="F9" s="6" t="n">
        <v>24</v>
      </c>
      <c r="G9" s="5" t="n">
        <f aca="false">D9/F9</f>
        <v>0.125</v>
      </c>
      <c r="H9" s="7" t="n">
        <f aca="false">F9-C9</f>
        <v>0</v>
      </c>
      <c r="I9" s="8" t="s">
        <v>12</v>
      </c>
      <c r="J9" s="9" t="s">
        <v>13</v>
      </c>
    </row>
    <row r="10" customFormat="false" ht="30" hidden="false" customHeight="true" outlineLevel="0" collapsed="false">
      <c r="A10" s="10" t="s">
        <v>10</v>
      </c>
      <c r="B10" s="10" t="s">
        <v>22</v>
      </c>
      <c r="C10" s="11" t="n">
        <v>24</v>
      </c>
      <c r="D10" s="12" t="n">
        <v>3</v>
      </c>
      <c r="E10" s="13" t="n">
        <f aca="false">D10/C10</f>
        <v>0.125</v>
      </c>
      <c r="F10" s="14" t="n">
        <v>24</v>
      </c>
      <c r="G10" s="13" t="n">
        <f aca="false">D10/F10</f>
        <v>0.125</v>
      </c>
      <c r="H10" s="15" t="n">
        <f aca="false">F10-C10</f>
        <v>0</v>
      </c>
      <c r="I10" s="16" t="s">
        <v>12</v>
      </c>
      <c r="J10" s="17" t="s">
        <v>23</v>
      </c>
    </row>
    <row r="11" customFormat="false" ht="30" hidden="false" customHeight="true" outlineLevel="0" collapsed="false">
      <c r="A11" s="2" t="s">
        <v>10</v>
      </c>
      <c r="B11" s="2" t="s">
        <v>24</v>
      </c>
      <c r="C11" s="3" t="n">
        <v>26</v>
      </c>
      <c r="D11" s="4" t="n">
        <v>5</v>
      </c>
      <c r="E11" s="5" t="n">
        <f aca="false">D11/C11</f>
        <v>0.192307692307692</v>
      </c>
      <c r="F11" s="6" t="n">
        <v>26</v>
      </c>
      <c r="G11" s="5" t="n">
        <f aca="false">D11/F11</f>
        <v>0.192307692307692</v>
      </c>
      <c r="H11" s="7" t="n">
        <f aca="false">F11-C11</f>
        <v>0</v>
      </c>
      <c r="I11" s="8" t="s">
        <v>12</v>
      </c>
      <c r="J11" s="9" t="s">
        <v>13</v>
      </c>
    </row>
    <row r="12" customFormat="false" ht="30" hidden="false" customHeight="true" outlineLevel="0" collapsed="false">
      <c r="A12" s="2" t="s">
        <v>10</v>
      </c>
      <c r="B12" s="2" t="s">
        <v>25</v>
      </c>
      <c r="C12" s="3" t="n">
        <v>26</v>
      </c>
      <c r="D12" s="4" t="n">
        <v>4</v>
      </c>
      <c r="E12" s="5" t="n">
        <f aca="false">D12/C12</f>
        <v>0.153846153846154</v>
      </c>
      <c r="F12" s="6" t="n">
        <v>26</v>
      </c>
      <c r="G12" s="5" t="n">
        <f aca="false">D12/F12</f>
        <v>0.153846153846154</v>
      </c>
      <c r="H12" s="7" t="n">
        <f aca="false">F12-C12</f>
        <v>0</v>
      </c>
      <c r="I12" s="8" t="s">
        <v>12</v>
      </c>
      <c r="J12" s="9" t="s">
        <v>13</v>
      </c>
    </row>
    <row r="13" customFormat="false" ht="30" hidden="false" customHeight="true" outlineLevel="0" collapsed="false">
      <c r="A13" s="2" t="s">
        <v>10</v>
      </c>
      <c r="B13" s="2" t="s">
        <v>26</v>
      </c>
      <c r="C13" s="3" t="n">
        <v>28</v>
      </c>
      <c r="D13" s="4" t="n">
        <v>5</v>
      </c>
      <c r="E13" s="5" t="n">
        <f aca="false">D13/C13</f>
        <v>0.178571428571429</v>
      </c>
      <c r="F13" s="6" t="n">
        <v>28</v>
      </c>
      <c r="G13" s="5" t="n">
        <f aca="false">D13/F13</f>
        <v>0.178571428571429</v>
      </c>
      <c r="H13" s="7" t="n">
        <f aca="false">F13-C13</f>
        <v>0</v>
      </c>
      <c r="I13" s="8" t="s">
        <v>12</v>
      </c>
      <c r="J13" s="9" t="s">
        <v>13</v>
      </c>
    </row>
    <row r="14" customFormat="false" ht="30" hidden="false" customHeight="true" outlineLevel="0" collapsed="false">
      <c r="A14" s="2" t="s">
        <v>10</v>
      </c>
      <c r="B14" s="2" t="s">
        <v>27</v>
      </c>
      <c r="C14" s="3" t="n">
        <v>16</v>
      </c>
      <c r="D14" s="4" t="n">
        <v>1.5</v>
      </c>
      <c r="E14" s="5" t="n">
        <f aca="false">D14/C14</f>
        <v>0.09375</v>
      </c>
      <c r="F14" s="6" t="n">
        <v>16</v>
      </c>
      <c r="G14" s="5" t="n">
        <f aca="false">D14/F14</f>
        <v>0.09375</v>
      </c>
      <c r="H14" s="7" t="n">
        <f aca="false">F14-C14</f>
        <v>0</v>
      </c>
      <c r="I14" s="8" t="s">
        <v>12</v>
      </c>
      <c r="J14" s="9" t="s">
        <v>13</v>
      </c>
    </row>
    <row r="15" customFormat="false" ht="30" hidden="false" customHeight="true" outlineLevel="0" collapsed="false">
      <c r="A15" s="2" t="s">
        <v>10</v>
      </c>
      <c r="B15" s="2" t="s">
        <v>28</v>
      </c>
      <c r="C15" s="3" t="n">
        <v>18</v>
      </c>
      <c r="D15" s="4" t="n">
        <v>2</v>
      </c>
      <c r="E15" s="5" t="n">
        <f aca="false">D15/C15</f>
        <v>0.111111111111111</v>
      </c>
      <c r="F15" s="6" t="n">
        <v>18</v>
      </c>
      <c r="G15" s="5" t="n">
        <f aca="false">D15/F15</f>
        <v>0.111111111111111</v>
      </c>
      <c r="H15" s="7" t="n">
        <f aca="false">F15-C15</f>
        <v>0</v>
      </c>
      <c r="I15" s="8" t="s">
        <v>12</v>
      </c>
      <c r="J15" s="9" t="s">
        <v>13</v>
      </c>
    </row>
    <row r="16" customFormat="false" ht="30" hidden="false" customHeight="true" outlineLevel="0" collapsed="false">
      <c r="A16" s="2" t="s">
        <v>10</v>
      </c>
      <c r="B16" s="2" t="s">
        <v>29</v>
      </c>
      <c r="C16" s="3" t="n">
        <v>18</v>
      </c>
      <c r="D16" s="4" t="n">
        <v>1.5</v>
      </c>
      <c r="E16" s="5" t="n">
        <f aca="false">D16/C16</f>
        <v>0.0833333333333333</v>
      </c>
      <c r="F16" s="6" t="n">
        <v>18</v>
      </c>
      <c r="G16" s="5" t="n">
        <f aca="false">D16/F16</f>
        <v>0.0833333333333333</v>
      </c>
      <c r="H16" s="7" t="n">
        <f aca="false">F16-C16</f>
        <v>0</v>
      </c>
      <c r="I16" s="8" t="s">
        <v>12</v>
      </c>
      <c r="J16" s="9" t="s">
        <v>13</v>
      </c>
    </row>
    <row r="17" customFormat="false" ht="30" hidden="false" customHeight="true" outlineLevel="0" collapsed="false">
      <c r="A17" s="2" t="s">
        <v>10</v>
      </c>
      <c r="B17" s="2" t="s">
        <v>30</v>
      </c>
      <c r="C17" s="3" t="n">
        <v>20</v>
      </c>
      <c r="D17" s="4" t="n">
        <v>2.5</v>
      </c>
      <c r="E17" s="5" t="n">
        <f aca="false">D17/C17</f>
        <v>0.125</v>
      </c>
      <c r="F17" s="6" t="n">
        <v>20</v>
      </c>
      <c r="G17" s="5" t="n">
        <f aca="false">D17/F17</f>
        <v>0.125</v>
      </c>
      <c r="H17" s="7" t="n">
        <f aca="false">F17-C17</f>
        <v>0</v>
      </c>
      <c r="I17" s="8" t="s">
        <v>12</v>
      </c>
      <c r="J17" s="9" t="s">
        <v>13</v>
      </c>
    </row>
    <row r="18" customFormat="false" ht="30" hidden="false" customHeight="true" outlineLevel="0" collapsed="false">
      <c r="A18" s="2" t="s">
        <v>31</v>
      </c>
      <c r="B18" s="2" t="s">
        <v>32</v>
      </c>
      <c r="C18" s="3" t="n">
        <v>28</v>
      </c>
      <c r="D18" s="4" t="n">
        <v>11</v>
      </c>
      <c r="E18" s="5" t="n">
        <f aca="false">D18/C18</f>
        <v>0.392857142857143</v>
      </c>
      <c r="F18" s="6" t="n">
        <v>32</v>
      </c>
      <c r="G18" s="5" t="n">
        <f aca="false">D18/F18</f>
        <v>0.34375</v>
      </c>
      <c r="H18" s="7" t="n">
        <f aca="false">F18-C18</f>
        <v>4</v>
      </c>
      <c r="I18" s="8" t="s">
        <v>12</v>
      </c>
      <c r="J18" s="9" t="s">
        <v>33</v>
      </c>
    </row>
    <row r="19" customFormat="false" ht="30" hidden="false" customHeight="true" outlineLevel="0" collapsed="false">
      <c r="A19" s="2" t="s">
        <v>31</v>
      </c>
      <c r="B19" s="2" t="s">
        <v>34</v>
      </c>
      <c r="C19" s="3" t="n">
        <v>29</v>
      </c>
      <c r="D19" s="4" t="n">
        <v>13</v>
      </c>
      <c r="E19" s="5" t="n">
        <f aca="false">D19/C19</f>
        <v>0.448275862068966</v>
      </c>
      <c r="F19" s="6" t="n">
        <v>34</v>
      </c>
      <c r="G19" s="5" t="n">
        <f aca="false">D19/F19</f>
        <v>0.382352941176471</v>
      </c>
      <c r="H19" s="7" t="n">
        <f aca="false">F19-C19</f>
        <v>5</v>
      </c>
      <c r="I19" s="8" t="s">
        <v>12</v>
      </c>
      <c r="J19" s="9" t="s">
        <v>35</v>
      </c>
    </row>
    <row r="20" customFormat="false" ht="30" hidden="false" customHeight="true" outlineLevel="0" collapsed="false">
      <c r="A20" s="10" t="s">
        <v>31</v>
      </c>
      <c r="B20" s="10" t="s">
        <v>36</v>
      </c>
      <c r="C20" s="11" t="n">
        <v>29</v>
      </c>
      <c r="D20" s="12" t="n">
        <v>15</v>
      </c>
      <c r="E20" s="13" t="n">
        <f aca="false">D20/C20</f>
        <v>0.517241379310345</v>
      </c>
      <c r="F20" s="14" t="n">
        <v>36</v>
      </c>
      <c r="G20" s="13" t="n">
        <f aca="false">D20/F20</f>
        <v>0.416666666666667</v>
      </c>
      <c r="H20" s="15" t="n">
        <f aca="false">F20-C20</f>
        <v>7</v>
      </c>
      <c r="I20" s="16" t="s">
        <v>12</v>
      </c>
      <c r="J20" s="17" t="s">
        <v>37</v>
      </c>
    </row>
    <row r="21" customFormat="false" ht="30" hidden="false" customHeight="true" outlineLevel="0" collapsed="false">
      <c r="A21" s="2" t="s">
        <v>31</v>
      </c>
      <c r="B21" s="2" t="s">
        <v>38</v>
      </c>
      <c r="C21" s="3" t="n">
        <v>30</v>
      </c>
      <c r="D21" s="4" t="n">
        <v>11</v>
      </c>
      <c r="E21" s="5" t="n">
        <f aca="false">D21/C21</f>
        <v>0.366666666666667</v>
      </c>
      <c r="F21" s="6" t="n">
        <v>32</v>
      </c>
      <c r="G21" s="5" t="n">
        <f aca="false">D21/F21</f>
        <v>0.34375</v>
      </c>
      <c r="H21" s="7" t="n">
        <f aca="false">F21-C21</f>
        <v>2</v>
      </c>
      <c r="I21" s="8" t="s">
        <v>12</v>
      </c>
      <c r="J21" s="9" t="s">
        <v>39</v>
      </c>
    </row>
    <row r="22" customFormat="false" ht="30" hidden="false" customHeight="true" outlineLevel="0" collapsed="false">
      <c r="A22" s="2" t="s">
        <v>31</v>
      </c>
      <c r="B22" s="2" t="s">
        <v>40</v>
      </c>
      <c r="C22" s="3" t="n">
        <v>22</v>
      </c>
      <c r="D22" s="4" t="n">
        <v>7</v>
      </c>
      <c r="E22" s="5" t="n">
        <f aca="false">D22/C22</f>
        <v>0.318181818181818</v>
      </c>
      <c r="F22" s="6" t="n">
        <v>22</v>
      </c>
      <c r="G22" s="5" t="n">
        <f aca="false">D22/F22</f>
        <v>0.318181818181818</v>
      </c>
      <c r="H22" s="7" t="n">
        <f aca="false">F22-C22</f>
        <v>0</v>
      </c>
      <c r="I22" s="8" t="s">
        <v>12</v>
      </c>
      <c r="J22" s="9" t="s">
        <v>13</v>
      </c>
    </row>
    <row r="23" customFormat="false" ht="30" hidden="false" customHeight="true" outlineLevel="0" collapsed="false">
      <c r="A23" s="2" t="s">
        <v>31</v>
      </c>
      <c r="B23" s="2" t="s">
        <v>41</v>
      </c>
      <c r="C23" s="3" t="n">
        <v>22</v>
      </c>
      <c r="D23" s="4" t="n">
        <v>4.5</v>
      </c>
      <c r="E23" s="5" t="n">
        <f aca="false">D23/C23</f>
        <v>0.204545454545455</v>
      </c>
      <c r="F23" s="6" t="n">
        <v>22</v>
      </c>
      <c r="G23" s="5" t="n">
        <f aca="false">D23/F23</f>
        <v>0.204545454545455</v>
      </c>
      <c r="H23" s="7" t="n">
        <f aca="false">F23-C23</f>
        <v>0</v>
      </c>
      <c r="I23" s="8" t="s">
        <v>12</v>
      </c>
      <c r="J23" s="9" t="s">
        <v>42</v>
      </c>
    </row>
    <row r="24" customFormat="false" ht="30" hidden="false" customHeight="true" outlineLevel="0" collapsed="false">
      <c r="A24" s="2" t="s">
        <v>31</v>
      </c>
      <c r="B24" s="2" t="s">
        <v>43</v>
      </c>
      <c r="C24" s="3" t="n">
        <v>22</v>
      </c>
      <c r="D24" s="4" t="n">
        <v>4.5</v>
      </c>
      <c r="E24" s="5" t="n">
        <f aca="false">D24/C24</f>
        <v>0.204545454545455</v>
      </c>
      <c r="F24" s="6" t="n">
        <v>22</v>
      </c>
      <c r="G24" s="5" t="n">
        <f aca="false">D24/F24</f>
        <v>0.204545454545455</v>
      </c>
      <c r="H24" s="7" t="n">
        <f aca="false">F24-C24</f>
        <v>0</v>
      </c>
      <c r="I24" s="8" t="s">
        <v>12</v>
      </c>
      <c r="J24" s="9" t="s">
        <v>42</v>
      </c>
    </row>
    <row r="25" customFormat="false" ht="30" hidden="false" customHeight="true" outlineLevel="0" collapsed="false">
      <c r="A25" s="2" t="s">
        <v>31</v>
      </c>
      <c r="B25" s="2" t="s">
        <v>44</v>
      </c>
      <c r="C25" s="3" t="n">
        <v>22</v>
      </c>
      <c r="D25" s="4" t="n">
        <v>6.5</v>
      </c>
      <c r="E25" s="5" t="n">
        <f aca="false">D25/C25</f>
        <v>0.295454545454545</v>
      </c>
      <c r="F25" s="6" t="n">
        <v>22</v>
      </c>
      <c r="G25" s="5" t="n">
        <f aca="false">D25/F25</f>
        <v>0.295454545454545</v>
      </c>
      <c r="H25" s="7" t="n">
        <f aca="false">F25-C25</f>
        <v>0</v>
      </c>
      <c r="I25" s="8" t="s">
        <v>12</v>
      </c>
      <c r="J25" s="9" t="s">
        <v>13</v>
      </c>
    </row>
    <row r="26" customFormat="false" ht="30" hidden="false" customHeight="true" outlineLevel="0" collapsed="false">
      <c r="A26" s="2" t="s">
        <v>31</v>
      </c>
      <c r="B26" s="2" t="s">
        <v>45</v>
      </c>
      <c r="C26" s="3" t="n">
        <v>22</v>
      </c>
      <c r="D26" s="4" t="n">
        <v>9</v>
      </c>
      <c r="E26" s="5" t="n">
        <f aca="false">D26/C26</f>
        <v>0.409090909090909</v>
      </c>
      <c r="F26" s="6" t="n">
        <v>25</v>
      </c>
      <c r="G26" s="5" t="n">
        <f aca="false">D26/F26</f>
        <v>0.36</v>
      </c>
      <c r="H26" s="7" t="n">
        <f aca="false">F26-C26</f>
        <v>3</v>
      </c>
      <c r="I26" s="8" t="s">
        <v>12</v>
      </c>
      <c r="J26" s="9" t="s">
        <v>46</v>
      </c>
    </row>
    <row r="27" customFormat="false" ht="30" hidden="false" customHeight="true" outlineLevel="0" collapsed="false">
      <c r="A27" s="2" t="s">
        <v>31</v>
      </c>
      <c r="B27" s="2" t="s">
        <v>47</v>
      </c>
      <c r="C27" s="3" t="n">
        <v>24</v>
      </c>
      <c r="D27" s="4" t="n">
        <v>5</v>
      </c>
      <c r="E27" s="5" t="n">
        <f aca="false">D27/C27</f>
        <v>0.208333333333333</v>
      </c>
      <c r="F27" s="6" t="n">
        <v>24</v>
      </c>
      <c r="G27" s="5" t="n">
        <f aca="false">D27/F27</f>
        <v>0.208333333333333</v>
      </c>
      <c r="H27" s="7" t="n">
        <f aca="false">F27-C27</f>
        <v>0</v>
      </c>
      <c r="I27" s="8" t="s">
        <v>12</v>
      </c>
      <c r="J27" s="9" t="s">
        <v>13</v>
      </c>
    </row>
    <row r="28" customFormat="false" ht="30" hidden="false" customHeight="true" outlineLevel="0" collapsed="false">
      <c r="A28" s="2" t="s">
        <v>31</v>
      </c>
      <c r="B28" s="2" t="s">
        <v>48</v>
      </c>
      <c r="C28" s="3" t="n">
        <v>24</v>
      </c>
      <c r="D28" s="4" t="n">
        <v>9</v>
      </c>
      <c r="E28" s="5" t="n">
        <f aca="false">D28/C28</f>
        <v>0.375</v>
      </c>
      <c r="F28" s="6" t="n">
        <v>24</v>
      </c>
      <c r="G28" s="5" t="n">
        <f aca="false">D28/F28</f>
        <v>0.375</v>
      </c>
      <c r="H28" s="7" t="n">
        <f aca="false">F28-C28</f>
        <v>0</v>
      </c>
      <c r="I28" s="8" t="s">
        <v>12</v>
      </c>
      <c r="J28" s="9" t="s">
        <v>49</v>
      </c>
    </row>
    <row r="29" customFormat="false" ht="30" hidden="false" customHeight="true" outlineLevel="0" collapsed="false">
      <c r="A29" s="2" t="s">
        <v>31</v>
      </c>
      <c r="B29" s="2" t="s">
        <v>50</v>
      </c>
      <c r="C29" s="3" t="n">
        <v>26</v>
      </c>
      <c r="D29" s="4" t="n">
        <v>9</v>
      </c>
      <c r="E29" s="5" t="n">
        <f aca="false">D29/C29</f>
        <v>0.346153846153846</v>
      </c>
      <c r="F29" s="6" t="n">
        <v>28</v>
      </c>
      <c r="G29" s="5" t="n">
        <f aca="false">D29/F29</f>
        <v>0.321428571428571</v>
      </c>
      <c r="H29" s="7" t="n">
        <f aca="false">F29-C29</f>
        <v>2</v>
      </c>
      <c r="I29" s="8" t="s">
        <v>12</v>
      </c>
      <c r="J29" s="9" t="s">
        <v>51</v>
      </c>
    </row>
    <row r="30" customFormat="false" ht="30" hidden="false" customHeight="true" outlineLevel="0" collapsed="false">
      <c r="A30" s="2" t="s">
        <v>31</v>
      </c>
      <c r="B30" s="2" t="s">
        <v>52</v>
      </c>
      <c r="C30" s="3" t="n">
        <v>26</v>
      </c>
      <c r="D30" s="4" t="n">
        <v>11</v>
      </c>
      <c r="E30" s="5" t="n">
        <f aca="false">D30/C30</f>
        <v>0.423076923076923</v>
      </c>
      <c r="F30" s="6" t="n">
        <v>29</v>
      </c>
      <c r="G30" s="5" t="n">
        <f aca="false">D30/F30</f>
        <v>0.379310344827586</v>
      </c>
      <c r="H30" s="7" t="n">
        <f aca="false">F30-C30</f>
        <v>3</v>
      </c>
      <c r="I30" s="8" t="s">
        <v>12</v>
      </c>
      <c r="J30" s="9" t="s">
        <v>53</v>
      </c>
    </row>
    <row r="31" customFormat="false" ht="30" hidden="false" customHeight="true" outlineLevel="0" collapsed="false">
      <c r="A31" s="2" t="s">
        <v>31</v>
      </c>
      <c r="B31" s="2" t="s">
        <v>54</v>
      </c>
      <c r="C31" s="3" t="n">
        <v>28</v>
      </c>
      <c r="D31" s="4" t="n">
        <v>10</v>
      </c>
      <c r="E31" s="5" t="n">
        <f aca="false">D31/C31</f>
        <v>0.357142857142857</v>
      </c>
      <c r="F31" s="6" t="n">
        <v>28</v>
      </c>
      <c r="G31" s="5" t="n">
        <f aca="false">D31/F31</f>
        <v>0.357142857142857</v>
      </c>
      <c r="H31" s="7" t="n">
        <f aca="false">F31-C31</f>
        <v>0</v>
      </c>
      <c r="I31" s="8" t="s">
        <v>12</v>
      </c>
      <c r="J31" s="9" t="s">
        <v>13</v>
      </c>
    </row>
    <row r="32" customFormat="false" ht="30" hidden="false" customHeight="true" outlineLevel="0" collapsed="false">
      <c r="A32" s="2" t="s">
        <v>31</v>
      </c>
      <c r="B32" s="2" t="s">
        <v>55</v>
      </c>
      <c r="C32" s="3" t="n">
        <v>32</v>
      </c>
      <c r="D32" s="4" t="n">
        <v>16</v>
      </c>
      <c r="E32" s="5" t="n">
        <f aca="false">D32/C32</f>
        <v>0.5</v>
      </c>
      <c r="F32" s="6" t="n">
        <v>38</v>
      </c>
      <c r="G32" s="5" t="n">
        <f aca="false">D32/F32</f>
        <v>0.421052631578947</v>
      </c>
      <c r="H32" s="7" t="n">
        <f aca="false">F32-C32</f>
        <v>6</v>
      </c>
      <c r="I32" s="8" t="s">
        <v>12</v>
      </c>
      <c r="J32" s="9" t="s">
        <v>56</v>
      </c>
    </row>
    <row r="33" customFormat="false" ht="30" hidden="false" customHeight="true" outlineLevel="0" collapsed="false">
      <c r="A33" s="2" t="s">
        <v>57</v>
      </c>
      <c r="B33" s="2" t="s">
        <v>58</v>
      </c>
      <c r="C33" s="3" t="n">
        <v>10</v>
      </c>
      <c r="D33" s="4" t="n">
        <v>3.5</v>
      </c>
      <c r="E33" s="5" t="n">
        <f aca="false">D33/C33</f>
        <v>0.35</v>
      </c>
      <c r="F33" s="6" t="n">
        <v>10</v>
      </c>
      <c r="G33" s="5" t="n">
        <f aca="false">D33/F33</f>
        <v>0.35</v>
      </c>
      <c r="H33" s="7" t="n">
        <f aca="false">F33-C33</f>
        <v>0</v>
      </c>
      <c r="I33" s="8" t="s">
        <v>12</v>
      </c>
      <c r="J33" s="9" t="s">
        <v>59</v>
      </c>
    </row>
    <row r="34" customFormat="false" ht="30" hidden="false" customHeight="true" outlineLevel="0" collapsed="false">
      <c r="A34" s="2" t="s">
        <v>57</v>
      </c>
      <c r="B34" s="2" t="s">
        <v>60</v>
      </c>
      <c r="C34" s="3" t="n">
        <v>16</v>
      </c>
      <c r="D34" s="4" t="n">
        <v>5.5</v>
      </c>
      <c r="E34" s="5" t="n">
        <f aca="false">D34/C34</f>
        <v>0.34375</v>
      </c>
      <c r="F34" s="6" t="n">
        <v>16</v>
      </c>
      <c r="G34" s="5" t="n">
        <f aca="false">D34/F34</f>
        <v>0.34375</v>
      </c>
      <c r="H34" s="7" t="n">
        <f aca="false">F34-C34</f>
        <v>0</v>
      </c>
      <c r="I34" s="8" t="s">
        <v>12</v>
      </c>
      <c r="J34" s="9" t="s">
        <v>61</v>
      </c>
    </row>
    <row r="35" customFormat="false" ht="30" hidden="false" customHeight="true" outlineLevel="0" collapsed="false">
      <c r="A35" s="2" t="s">
        <v>57</v>
      </c>
      <c r="B35" s="2" t="s">
        <v>62</v>
      </c>
      <c r="C35" s="3" t="n">
        <v>12</v>
      </c>
      <c r="D35" s="4" t="n">
        <v>4.5</v>
      </c>
      <c r="E35" s="5" t="n">
        <f aca="false">D35/C35</f>
        <v>0.375</v>
      </c>
      <c r="F35" s="6" t="n">
        <v>12</v>
      </c>
      <c r="G35" s="5" t="n">
        <f aca="false">D35/F35</f>
        <v>0.375</v>
      </c>
      <c r="H35" s="7" t="n">
        <f aca="false">F35-C35</f>
        <v>0</v>
      </c>
      <c r="I35" s="8" t="s">
        <v>12</v>
      </c>
      <c r="J35" s="9" t="s">
        <v>13</v>
      </c>
    </row>
    <row r="36" customFormat="false" ht="30" hidden="false" customHeight="true" outlineLevel="0" collapsed="false">
      <c r="A36" s="2" t="s">
        <v>57</v>
      </c>
      <c r="B36" s="2" t="s">
        <v>63</v>
      </c>
      <c r="C36" s="3" t="n">
        <v>24</v>
      </c>
      <c r="D36" s="4" t="n">
        <v>5</v>
      </c>
      <c r="E36" s="5" t="n">
        <f aca="false">D36/C36</f>
        <v>0.208333333333333</v>
      </c>
      <c r="F36" s="6" t="n">
        <v>24</v>
      </c>
      <c r="G36" s="5" t="n">
        <f aca="false">D36/F36</f>
        <v>0.208333333333333</v>
      </c>
      <c r="H36" s="7" t="n">
        <f aca="false">F36-C36</f>
        <v>0</v>
      </c>
      <c r="I36" s="8" t="s">
        <v>12</v>
      </c>
      <c r="J36" s="9" t="s">
        <v>42</v>
      </c>
    </row>
    <row r="37" customFormat="false" ht="30" hidden="false" customHeight="true" outlineLevel="0" collapsed="false">
      <c r="A37" s="2" t="s">
        <v>57</v>
      </c>
      <c r="B37" s="2" t="s">
        <v>64</v>
      </c>
      <c r="C37" s="3" t="n">
        <v>25</v>
      </c>
      <c r="D37" s="4" t="n">
        <v>4</v>
      </c>
      <c r="E37" s="5" t="n">
        <f aca="false">D37/C37</f>
        <v>0.16</v>
      </c>
      <c r="F37" s="6" t="n">
        <v>25</v>
      </c>
      <c r="G37" s="5" t="n">
        <f aca="false">D37/F37</f>
        <v>0.16</v>
      </c>
      <c r="H37" s="7" t="n">
        <f aca="false">F37-C37</f>
        <v>0</v>
      </c>
      <c r="I37" s="8" t="s">
        <v>12</v>
      </c>
      <c r="J37" s="9" t="s">
        <v>42</v>
      </c>
    </row>
    <row r="38" customFormat="false" ht="30" hidden="false" customHeight="true" outlineLevel="0" collapsed="false">
      <c r="A38" s="2" t="s">
        <v>57</v>
      </c>
      <c r="B38" s="2" t="s">
        <v>65</v>
      </c>
      <c r="C38" s="3" t="n">
        <v>27</v>
      </c>
      <c r="D38" s="4" t="n">
        <v>14</v>
      </c>
      <c r="E38" s="5" t="n">
        <f aca="false">D38/C38</f>
        <v>0.518518518518519</v>
      </c>
      <c r="F38" s="6" t="n">
        <v>29</v>
      </c>
      <c r="G38" s="5" t="n">
        <f aca="false">D38/F38</f>
        <v>0.482758620689655</v>
      </c>
      <c r="H38" s="7" t="n">
        <f aca="false">F38-C38</f>
        <v>2</v>
      </c>
      <c r="I38" s="8" t="s">
        <v>12</v>
      </c>
      <c r="J38" s="9" t="s">
        <v>66</v>
      </c>
    </row>
    <row r="39" customFormat="false" ht="30" hidden="false" customHeight="true" outlineLevel="0" collapsed="false">
      <c r="A39" s="2" t="s">
        <v>57</v>
      </c>
      <c r="B39" s="2" t="s">
        <v>60</v>
      </c>
      <c r="C39" s="3" t="n">
        <v>16</v>
      </c>
      <c r="D39" s="4" t="n">
        <v>5.5</v>
      </c>
      <c r="E39" s="5" t="n">
        <f aca="false">D39/C39</f>
        <v>0.34375</v>
      </c>
      <c r="F39" s="6" t="n">
        <v>16</v>
      </c>
      <c r="G39" s="5" t="n">
        <f aca="false">D39/F39</f>
        <v>0.34375</v>
      </c>
      <c r="H39" s="7" t="n">
        <f aca="false">F39-C39</f>
        <v>0</v>
      </c>
      <c r="I39" s="8" t="s">
        <v>12</v>
      </c>
      <c r="J39" s="9" t="s">
        <v>67</v>
      </c>
    </row>
    <row r="40" customFormat="false" ht="30" hidden="false" customHeight="true" outlineLevel="0" collapsed="false">
      <c r="A40" s="2" t="s">
        <v>68</v>
      </c>
      <c r="B40" s="2" t="s">
        <v>69</v>
      </c>
      <c r="C40" s="3" t="n">
        <v>27</v>
      </c>
      <c r="D40" s="4" t="n">
        <v>13</v>
      </c>
      <c r="E40" s="5" t="n">
        <f aca="false">D40/C40</f>
        <v>0.481481481481481</v>
      </c>
      <c r="F40" s="6" t="n">
        <v>30</v>
      </c>
      <c r="G40" s="5" t="n">
        <f aca="false">D40/F40</f>
        <v>0.433333333333333</v>
      </c>
      <c r="H40" s="7" t="n">
        <f aca="false">F40-C40</f>
        <v>3</v>
      </c>
      <c r="I40" s="3" t="n">
        <f aca="false">D40/0.3</f>
        <v>43.3333333333333</v>
      </c>
      <c r="J40" s="9" t="s">
        <v>70</v>
      </c>
    </row>
    <row r="41" customFormat="false" ht="30" hidden="false" customHeight="true" outlineLevel="0" collapsed="false">
      <c r="A41" s="2" t="s">
        <v>68</v>
      </c>
      <c r="B41" s="2" t="s">
        <v>71</v>
      </c>
      <c r="C41" s="3" t="n">
        <v>29</v>
      </c>
      <c r="D41" s="4" t="n">
        <v>19</v>
      </c>
      <c r="E41" s="5" t="n">
        <f aca="false">D41/C41</f>
        <v>0.655172413793103</v>
      </c>
      <c r="F41" s="6" t="n">
        <v>35</v>
      </c>
      <c r="G41" s="5" t="n">
        <f aca="false">D41/F41</f>
        <v>0.542857142857143</v>
      </c>
      <c r="H41" s="7" t="n">
        <f aca="false">F41-C41</f>
        <v>6</v>
      </c>
      <c r="I41" s="3" t="n">
        <f aca="false">D41/0.3</f>
        <v>63.3333333333333</v>
      </c>
      <c r="J41" s="9" t="s">
        <v>72</v>
      </c>
    </row>
    <row r="42" customFormat="false" ht="30" hidden="false" customHeight="true" outlineLevel="0" collapsed="false">
      <c r="A42" s="10" t="s">
        <v>68</v>
      </c>
      <c r="B42" s="10" t="s">
        <v>73</v>
      </c>
      <c r="C42" s="11" t="n">
        <v>37</v>
      </c>
      <c r="D42" s="12" t="n">
        <v>22</v>
      </c>
      <c r="E42" s="13" t="n">
        <f aca="false">D42/C42</f>
        <v>0.594594594594595</v>
      </c>
      <c r="F42" s="14" t="n">
        <v>43</v>
      </c>
      <c r="G42" s="13" t="n">
        <f aca="false">D42/F42</f>
        <v>0.511627906976744</v>
      </c>
      <c r="H42" s="15" t="n">
        <f aca="false">F42-C42</f>
        <v>6</v>
      </c>
      <c r="I42" s="11" t="n">
        <f aca="false">D42/0.3</f>
        <v>73.3333333333333</v>
      </c>
      <c r="J42" s="17" t="s">
        <v>74</v>
      </c>
    </row>
    <row r="43" customFormat="false" ht="30" hidden="false" customHeight="true" outlineLevel="0" collapsed="false">
      <c r="A43" s="2" t="s">
        <v>68</v>
      </c>
      <c r="B43" s="2" t="s">
        <v>75</v>
      </c>
      <c r="C43" s="3" t="n">
        <v>38</v>
      </c>
      <c r="D43" s="4" t="n">
        <v>22</v>
      </c>
      <c r="E43" s="5" t="n">
        <f aca="false">D43/C43</f>
        <v>0.578947368421053</v>
      </c>
      <c r="F43" s="6" t="n">
        <v>42</v>
      </c>
      <c r="G43" s="5" t="n">
        <f aca="false">D43/F43</f>
        <v>0.523809523809524</v>
      </c>
      <c r="H43" s="7" t="n">
        <f aca="false">F43-C43</f>
        <v>4</v>
      </c>
      <c r="I43" s="3" t="n">
        <f aca="false">D43/0.3</f>
        <v>73.3333333333333</v>
      </c>
      <c r="J43" s="9" t="s">
        <v>76</v>
      </c>
    </row>
    <row r="44" customFormat="false" ht="30" hidden="false" customHeight="true" outlineLevel="0" collapsed="false">
      <c r="A44" s="2" t="s">
        <v>68</v>
      </c>
      <c r="B44" s="2" t="s">
        <v>77</v>
      </c>
      <c r="C44" s="3" t="n">
        <v>48</v>
      </c>
      <c r="D44" s="4" t="n">
        <v>31</v>
      </c>
      <c r="E44" s="5" t="n">
        <f aca="false">D44/C44</f>
        <v>0.645833333333333</v>
      </c>
      <c r="F44" s="6" t="n">
        <v>55</v>
      </c>
      <c r="G44" s="5" t="n">
        <f aca="false">D44/F44</f>
        <v>0.563636363636364</v>
      </c>
      <c r="H44" s="7" t="n">
        <f aca="false">F44-C44</f>
        <v>7</v>
      </c>
      <c r="I44" s="3" t="n">
        <f aca="false">D44/0.3</f>
        <v>103.333333333333</v>
      </c>
      <c r="J44" s="9" t="s">
        <v>78</v>
      </c>
    </row>
    <row r="45" customFormat="false" ht="30" hidden="false" customHeight="true" outlineLevel="0" collapsed="false">
      <c r="A45" s="2" t="s">
        <v>79</v>
      </c>
      <c r="B45" s="2" t="s">
        <v>80</v>
      </c>
      <c r="C45" s="3" t="n">
        <v>13</v>
      </c>
      <c r="D45" s="4" t="n">
        <v>3</v>
      </c>
      <c r="E45" s="5" t="n">
        <f aca="false">D45/C45</f>
        <v>0.230769230769231</v>
      </c>
      <c r="F45" s="6" t="n">
        <v>13</v>
      </c>
      <c r="G45" s="5" t="n">
        <f aca="false">D45/F45</f>
        <v>0.230769230769231</v>
      </c>
      <c r="H45" s="7" t="n">
        <f aca="false">F45-C45</f>
        <v>0</v>
      </c>
      <c r="I45" s="3" t="n">
        <f aca="false">D45/0.3</f>
        <v>10</v>
      </c>
      <c r="J45" s="9" t="s">
        <v>13</v>
      </c>
    </row>
    <row r="46" customFormat="false" ht="30" hidden="false" customHeight="true" outlineLevel="0" collapsed="false">
      <c r="A46" s="2" t="s">
        <v>79</v>
      </c>
      <c r="B46" s="2" t="s">
        <v>81</v>
      </c>
      <c r="C46" s="3" t="n">
        <v>18</v>
      </c>
      <c r="D46" s="4" t="n">
        <v>5</v>
      </c>
      <c r="E46" s="5" t="n">
        <f aca="false">D46/C46</f>
        <v>0.277777777777778</v>
      </c>
      <c r="F46" s="6" t="n">
        <v>18</v>
      </c>
      <c r="G46" s="5" t="n">
        <f aca="false">D46/F46</f>
        <v>0.277777777777778</v>
      </c>
      <c r="H46" s="7" t="n">
        <f aca="false">F46-C46</f>
        <v>0</v>
      </c>
      <c r="I46" s="3" t="n">
        <f aca="false">D46/0.3</f>
        <v>16.6666666666667</v>
      </c>
      <c r="J46" s="9" t="s">
        <v>13</v>
      </c>
    </row>
    <row r="47" customFormat="false" ht="30" hidden="false" customHeight="true" outlineLevel="0" collapsed="false">
      <c r="A47" s="2" t="s">
        <v>79</v>
      </c>
      <c r="B47" s="2" t="s">
        <v>82</v>
      </c>
      <c r="C47" s="3" t="n">
        <v>21</v>
      </c>
      <c r="D47" s="4" t="n">
        <v>6</v>
      </c>
      <c r="E47" s="5" t="n">
        <f aca="false">D47/C47</f>
        <v>0.285714285714286</v>
      </c>
      <c r="F47" s="6" t="n">
        <v>21</v>
      </c>
      <c r="G47" s="5" t="n">
        <f aca="false">D47/F47</f>
        <v>0.285714285714286</v>
      </c>
      <c r="H47" s="7" t="n">
        <f aca="false">F47-C47</f>
        <v>0</v>
      </c>
      <c r="I47" s="3" t="n">
        <f aca="false">D47/0.3</f>
        <v>20</v>
      </c>
      <c r="J47" s="9" t="s">
        <v>13</v>
      </c>
    </row>
    <row r="48" customFormat="false" ht="30" hidden="false" customHeight="true" outlineLevel="0" collapsed="false">
      <c r="A48" s="2" t="s">
        <v>79</v>
      </c>
      <c r="B48" s="2" t="s">
        <v>83</v>
      </c>
      <c r="C48" s="3" t="n">
        <v>23</v>
      </c>
      <c r="D48" s="4" t="n">
        <v>8</v>
      </c>
      <c r="E48" s="5" t="n">
        <f aca="false">D48/C48</f>
        <v>0.347826086956522</v>
      </c>
      <c r="F48" s="6" t="n">
        <v>23</v>
      </c>
      <c r="G48" s="5" t="n">
        <f aca="false">D48/F48</f>
        <v>0.347826086956522</v>
      </c>
      <c r="H48" s="7" t="n">
        <f aca="false">F48-C48</f>
        <v>0</v>
      </c>
      <c r="I48" s="3" t="n">
        <f aca="false">D48/0.3</f>
        <v>26.6666666666667</v>
      </c>
      <c r="J48" s="9" t="s">
        <v>84</v>
      </c>
    </row>
    <row r="49" customFormat="false" ht="30" hidden="false" customHeight="true" outlineLevel="0" collapsed="false">
      <c r="A49" s="2" t="s">
        <v>79</v>
      </c>
      <c r="B49" s="2" t="s">
        <v>85</v>
      </c>
      <c r="C49" s="3" t="n">
        <v>24</v>
      </c>
      <c r="D49" s="4" t="n">
        <v>10</v>
      </c>
      <c r="E49" s="5" t="n">
        <f aca="false">D49/C49</f>
        <v>0.416666666666667</v>
      </c>
      <c r="F49" s="6" t="n">
        <v>27</v>
      </c>
      <c r="G49" s="5" t="n">
        <f aca="false">D49/F49</f>
        <v>0.37037037037037</v>
      </c>
      <c r="H49" s="7" t="n">
        <f aca="false">F49-C49</f>
        <v>3</v>
      </c>
      <c r="I49" s="3" t="n">
        <f aca="false">D49/0.3</f>
        <v>33.3333333333333</v>
      </c>
      <c r="J49" s="9" t="s">
        <v>86</v>
      </c>
    </row>
    <row r="50" customFormat="false" ht="30" hidden="false" customHeight="true" outlineLevel="0" collapsed="false">
      <c r="A50" s="10" t="s">
        <v>79</v>
      </c>
      <c r="B50" s="10" t="s">
        <v>87</v>
      </c>
      <c r="C50" s="11" t="n">
        <v>26</v>
      </c>
      <c r="D50" s="12" t="n">
        <v>10</v>
      </c>
      <c r="E50" s="13" t="n">
        <f aca="false">D50/C50</f>
        <v>0.384615384615385</v>
      </c>
      <c r="F50" s="14" t="n">
        <v>29</v>
      </c>
      <c r="G50" s="13" t="n">
        <f aca="false">D50/F50</f>
        <v>0.344827586206897</v>
      </c>
      <c r="H50" s="15" t="n">
        <f aca="false">F50-C50</f>
        <v>3</v>
      </c>
      <c r="I50" s="11" t="n">
        <f aca="false">D50/0.3</f>
        <v>33.3333333333333</v>
      </c>
      <c r="J50" s="17" t="s">
        <v>88</v>
      </c>
    </row>
    <row r="51" customFormat="false" ht="30" hidden="false" customHeight="true" outlineLevel="0" collapsed="false">
      <c r="A51" s="2" t="s">
        <v>89</v>
      </c>
      <c r="B51" s="2" t="s">
        <v>90</v>
      </c>
      <c r="C51" s="3" t="n">
        <v>18</v>
      </c>
      <c r="D51" s="4" t="n">
        <v>4</v>
      </c>
      <c r="E51" s="5" t="n">
        <f aca="false">D51/C51</f>
        <v>0.222222222222222</v>
      </c>
      <c r="F51" s="6" t="n">
        <v>18</v>
      </c>
      <c r="G51" s="5" t="n">
        <f aca="false">D51/F51</f>
        <v>0.222222222222222</v>
      </c>
      <c r="H51" s="7" t="n">
        <f aca="false">F51-C51</f>
        <v>0</v>
      </c>
      <c r="I51" s="3" t="n">
        <f aca="false">D51/0.3</f>
        <v>13.3333333333333</v>
      </c>
      <c r="J51" s="9" t="s">
        <v>13</v>
      </c>
    </row>
    <row r="52" customFormat="false" ht="30" hidden="false" customHeight="true" outlineLevel="0" collapsed="false">
      <c r="A52" s="2" t="s">
        <v>89</v>
      </c>
      <c r="B52" s="2" t="s">
        <v>91</v>
      </c>
      <c r="C52" s="3" t="n">
        <v>24</v>
      </c>
      <c r="D52" s="4" t="n">
        <v>9</v>
      </c>
      <c r="E52" s="5" t="n">
        <f aca="false">D52/C52</f>
        <v>0.375</v>
      </c>
      <c r="F52" s="6" t="n">
        <v>24</v>
      </c>
      <c r="G52" s="5" t="n">
        <f aca="false">D52/F52</f>
        <v>0.375</v>
      </c>
      <c r="H52" s="7" t="n">
        <f aca="false">F52-C52</f>
        <v>0</v>
      </c>
      <c r="I52" s="3" t="n">
        <f aca="false">D52/0.3</f>
        <v>30</v>
      </c>
      <c r="J52" s="9" t="s">
        <v>49</v>
      </c>
    </row>
    <row r="53" customFormat="false" ht="30" hidden="false" customHeight="true" outlineLevel="0" collapsed="false">
      <c r="A53" s="2" t="s">
        <v>89</v>
      </c>
      <c r="B53" s="2" t="s">
        <v>92</v>
      </c>
      <c r="C53" s="3" t="n">
        <v>24</v>
      </c>
      <c r="D53" s="4" t="n">
        <v>9</v>
      </c>
      <c r="E53" s="5" t="n">
        <f aca="false">D53/C53</f>
        <v>0.375</v>
      </c>
      <c r="F53" s="6" t="n">
        <v>24</v>
      </c>
      <c r="G53" s="5" t="n">
        <f aca="false">D53/F53</f>
        <v>0.375</v>
      </c>
      <c r="H53" s="7" t="n">
        <f aca="false">F53-C53</f>
        <v>0</v>
      </c>
      <c r="I53" s="3" t="n">
        <f aca="false">D53/0.3</f>
        <v>30</v>
      </c>
      <c r="J53" s="9" t="s">
        <v>84</v>
      </c>
    </row>
    <row r="54" customFormat="false" ht="30" hidden="false" customHeight="true" outlineLevel="0" collapsed="false">
      <c r="A54" s="2" t="s">
        <v>89</v>
      </c>
      <c r="B54" s="2" t="s">
        <v>93</v>
      </c>
      <c r="C54" s="3" t="n">
        <v>29</v>
      </c>
      <c r="D54" s="4" t="n">
        <v>12</v>
      </c>
      <c r="E54" s="5" t="n">
        <f aca="false">D54/C54</f>
        <v>0.413793103448276</v>
      </c>
      <c r="F54" s="6" t="n">
        <v>32</v>
      </c>
      <c r="G54" s="5" t="n">
        <f aca="false">D54/F54</f>
        <v>0.375</v>
      </c>
      <c r="H54" s="7" t="n">
        <f aca="false">F54-C54</f>
        <v>3</v>
      </c>
      <c r="I54" s="3" t="n">
        <f aca="false">D54/0.3</f>
        <v>40</v>
      </c>
      <c r="J54" s="9" t="s">
        <v>94</v>
      </c>
    </row>
    <row r="55" customFormat="false" ht="30" hidden="false" customHeight="true" outlineLevel="0" collapsed="false">
      <c r="A55" s="2" t="s">
        <v>95</v>
      </c>
      <c r="B55" s="2" t="s">
        <v>96</v>
      </c>
      <c r="C55" s="3" t="n">
        <v>10</v>
      </c>
      <c r="D55" s="4" t="n">
        <v>5</v>
      </c>
      <c r="E55" s="5" t="n">
        <f aca="false">D55/C55</f>
        <v>0.5</v>
      </c>
      <c r="F55" s="6" t="n">
        <v>10</v>
      </c>
      <c r="G55" s="5" t="n">
        <f aca="false">D55/F55</f>
        <v>0.5</v>
      </c>
      <c r="H55" s="7" t="n">
        <f aca="false">F55-C55</f>
        <v>0</v>
      </c>
      <c r="I55" s="3" t="n">
        <f aca="false">D55/0.3</f>
        <v>16.6666666666667</v>
      </c>
      <c r="J55" s="9" t="s">
        <v>97</v>
      </c>
    </row>
    <row r="56" customFormat="false" ht="30" hidden="false" customHeight="true" outlineLevel="0" collapsed="false">
      <c r="A56" s="2" t="s">
        <v>95</v>
      </c>
      <c r="B56" s="2" t="s">
        <v>98</v>
      </c>
      <c r="C56" s="3" t="n">
        <v>10</v>
      </c>
      <c r="D56" s="4" t="n">
        <v>5</v>
      </c>
      <c r="E56" s="5" t="n">
        <f aca="false">D56/C56</f>
        <v>0.5</v>
      </c>
      <c r="F56" s="6" t="n">
        <v>10</v>
      </c>
      <c r="G56" s="5" t="n">
        <f aca="false">D56/F56</f>
        <v>0.5</v>
      </c>
      <c r="H56" s="7" t="n">
        <f aca="false">F56-C56</f>
        <v>0</v>
      </c>
      <c r="I56" s="3" t="n">
        <f aca="false">D56/0.3</f>
        <v>16.6666666666667</v>
      </c>
      <c r="J56" s="9" t="s">
        <v>97</v>
      </c>
    </row>
    <row r="57" customFormat="false" ht="30" hidden="false" customHeight="true" outlineLevel="0" collapsed="false">
      <c r="A57" s="2" t="s">
        <v>95</v>
      </c>
      <c r="B57" s="2" t="s">
        <v>99</v>
      </c>
      <c r="C57" s="3" t="n">
        <v>10</v>
      </c>
      <c r="D57" s="4" t="n">
        <v>4.5</v>
      </c>
      <c r="E57" s="5" t="n">
        <f aca="false">D57/C57</f>
        <v>0.45</v>
      </c>
      <c r="F57" s="6" t="n">
        <v>10</v>
      </c>
      <c r="G57" s="5" t="n">
        <f aca="false">D57/F57</f>
        <v>0.45</v>
      </c>
      <c r="H57" s="7" t="n">
        <f aca="false">F57-C57</f>
        <v>0</v>
      </c>
      <c r="I57" s="3" t="n">
        <f aca="false">D57/0.3</f>
        <v>15</v>
      </c>
      <c r="J57" s="9" t="s">
        <v>97</v>
      </c>
    </row>
    <row r="58" customFormat="false" ht="30" hidden="false" customHeight="true" outlineLevel="0" collapsed="false">
      <c r="A58" s="2" t="s">
        <v>95</v>
      </c>
      <c r="B58" s="2" t="s">
        <v>100</v>
      </c>
      <c r="C58" s="3" t="n">
        <v>10</v>
      </c>
      <c r="D58" s="4" t="n">
        <v>5</v>
      </c>
      <c r="E58" s="5" t="n">
        <f aca="false">D58/C58</f>
        <v>0.5</v>
      </c>
      <c r="F58" s="6" t="n">
        <v>10</v>
      </c>
      <c r="G58" s="5" t="n">
        <f aca="false">D58/F58</f>
        <v>0.5</v>
      </c>
      <c r="H58" s="7" t="n">
        <f aca="false">F58-C58</f>
        <v>0</v>
      </c>
      <c r="I58" s="3" t="n">
        <f aca="false">D58/0.3</f>
        <v>16.6666666666667</v>
      </c>
      <c r="J58" s="9" t="s">
        <v>97</v>
      </c>
    </row>
    <row r="59" customFormat="false" ht="30" hidden="false" customHeight="true" outlineLevel="0" collapsed="false">
      <c r="A59" s="2" t="s">
        <v>101</v>
      </c>
      <c r="B59" s="2" t="s">
        <v>102</v>
      </c>
      <c r="C59" s="3" t="n">
        <v>18</v>
      </c>
      <c r="D59" s="4" t="n">
        <v>3</v>
      </c>
      <c r="E59" s="5" t="n">
        <f aca="false">D59/C59</f>
        <v>0.166666666666667</v>
      </c>
      <c r="F59" s="6" t="n">
        <v>18</v>
      </c>
      <c r="G59" s="5" t="n">
        <f aca="false">D59/F59</f>
        <v>0.166666666666667</v>
      </c>
      <c r="H59" s="7" t="n">
        <f aca="false">F59-C59</f>
        <v>0</v>
      </c>
      <c r="I59" s="3" t="n">
        <f aca="false">D59/0.3</f>
        <v>10</v>
      </c>
      <c r="J59" s="9" t="s">
        <v>42</v>
      </c>
    </row>
    <row r="60" customFormat="false" ht="30" hidden="false" customHeight="true" outlineLevel="0" collapsed="false">
      <c r="A60" s="2" t="s">
        <v>101</v>
      </c>
      <c r="B60" s="2" t="s">
        <v>103</v>
      </c>
      <c r="C60" s="3" t="n">
        <v>16</v>
      </c>
      <c r="D60" s="4" t="n">
        <v>2</v>
      </c>
      <c r="E60" s="5" t="n">
        <f aca="false">D60/C60</f>
        <v>0.125</v>
      </c>
      <c r="F60" s="6" t="n">
        <v>16</v>
      </c>
      <c r="G60" s="5" t="n">
        <f aca="false">D60/F60</f>
        <v>0.125</v>
      </c>
      <c r="H60" s="7" t="n">
        <f aca="false">F60-C60</f>
        <v>0</v>
      </c>
      <c r="I60" s="3" t="n">
        <f aca="false">D60/0.3</f>
        <v>6.66666666666667</v>
      </c>
      <c r="J60" s="9" t="s">
        <v>42</v>
      </c>
    </row>
    <row r="61" customFormat="false" ht="30" hidden="false" customHeight="true" outlineLevel="0" collapsed="false">
      <c r="A61" s="10" t="s">
        <v>101</v>
      </c>
      <c r="B61" s="10" t="s">
        <v>104</v>
      </c>
      <c r="C61" s="11" t="n">
        <v>22</v>
      </c>
      <c r="D61" s="12" t="n">
        <v>4</v>
      </c>
      <c r="E61" s="13" t="n">
        <f aca="false">D61/C61</f>
        <v>0.181818181818182</v>
      </c>
      <c r="F61" s="14" t="n">
        <v>22</v>
      </c>
      <c r="G61" s="13" t="n">
        <f aca="false">D61/F61</f>
        <v>0.181818181818182</v>
      </c>
      <c r="H61" s="15" t="n">
        <f aca="false">F61-C61</f>
        <v>0</v>
      </c>
      <c r="I61" s="11" t="n">
        <f aca="false">D61/0.3</f>
        <v>13.3333333333333</v>
      </c>
      <c r="J61" s="17" t="s">
        <v>105</v>
      </c>
    </row>
    <row r="62" customFormat="false" ht="30" hidden="false" customHeight="true" outlineLevel="0" collapsed="false">
      <c r="A62" s="2" t="s">
        <v>101</v>
      </c>
      <c r="B62" s="2" t="s">
        <v>106</v>
      </c>
      <c r="C62" s="3" t="n">
        <v>24</v>
      </c>
      <c r="D62" s="4" t="n">
        <v>5</v>
      </c>
      <c r="E62" s="5" t="n">
        <f aca="false">D62/C62</f>
        <v>0.208333333333333</v>
      </c>
      <c r="F62" s="6" t="n">
        <v>24</v>
      </c>
      <c r="G62" s="5" t="n">
        <f aca="false">D62/F62</f>
        <v>0.208333333333333</v>
      </c>
      <c r="H62" s="7" t="n">
        <f aca="false">F62-C62</f>
        <v>0</v>
      </c>
      <c r="I62" s="3" t="n">
        <f aca="false">D62/0.3</f>
        <v>16.6666666666667</v>
      </c>
      <c r="J62" s="9" t="s">
        <v>42</v>
      </c>
    </row>
    <row r="63" customFormat="false" ht="30" hidden="false" customHeight="true" outlineLevel="0" collapsed="false">
      <c r="A63" s="2" t="s">
        <v>101</v>
      </c>
      <c r="B63" s="2" t="s">
        <v>107</v>
      </c>
      <c r="C63" s="3" t="n">
        <v>26</v>
      </c>
      <c r="D63" s="4" t="n">
        <v>7</v>
      </c>
      <c r="E63" s="5" t="n">
        <f aca="false">D63/C63</f>
        <v>0.269230769230769</v>
      </c>
      <c r="F63" s="6" t="n">
        <v>26</v>
      </c>
      <c r="G63" s="5" t="n">
        <f aca="false">D63/F63</f>
        <v>0.269230769230769</v>
      </c>
      <c r="H63" s="7" t="n">
        <f aca="false">F63-C63</f>
        <v>0</v>
      </c>
      <c r="I63" s="3" t="n">
        <f aca="false">D63/0.3</f>
        <v>23.3333333333333</v>
      </c>
      <c r="J63" s="9" t="s">
        <v>108</v>
      </c>
    </row>
    <row r="64" customFormat="false" ht="30" hidden="false" customHeight="true" outlineLevel="0" collapsed="false">
      <c r="A64" s="2" t="s">
        <v>109</v>
      </c>
      <c r="B64" s="2" t="s">
        <v>110</v>
      </c>
      <c r="C64" s="3" t="n">
        <v>27</v>
      </c>
      <c r="D64" s="4" t="n">
        <v>8</v>
      </c>
      <c r="E64" s="5" t="n">
        <f aca="false">D64/C64</f>
        <v>0.296296296296296</v>
      </c>
      <c r="F64" s="6" t="n">
        <v>27</v>
      </c>
      <c r="G64" s="5" t="n">
        <f aca="false">D64/F64</f>
        <v>0.296296296296296</v>
      </c>
      <c r="H64" s="7" t="n">
        <f aca="false">F64-C64</f>
        <v>0</v>
      </c>
      <c r="I64" s="3" t="n">
        <f aca="false">D64/0.3</f>
        <v>26.6666666666667</v>
      </c>
      <c r="J64" s="9" t="s">
        <v>13</v>
      </c>
    </row>
    <row r="65" customFormat="false" ht="30" hidden="false" customHeight="true" outlineLevel="0" collapsed="false">
      <c r="A65" s="2" t="s">
        <v>109</v>
      </c>
      <c r="B65" s="2" t="s">
        <v>111</v>
      </c>
      <c r="C65" s="3" t="n">
        <v>29</v>
      </c>
      <c r="D65" s="4" t="n">
        <v>9</v>
      </c>
      <c r="E65" s="5" t="n">
        <f aca="false">D65/C65</f>
        <v>0.310344827586207</v>
      </c>
      <c r="F65" s="6" t="n">
        <v>29</v>
      </c>
      <c r="G65" s="5" t="n">
        <f aca="false">D65/F65</f>
        <v>0.310344827586207</v>
      </c>
      <c r="H65" s="7" t="n">
        <f aca="false">F65-C65</f>
        <v>0</v>
      </c>
      <c r="I65" s="3" t="n">
        <f aca="false">D65/0.3</f>
        <v>30</v>
      </c>
      <c r="J65" s="9" t="s">
        <v>13</v>
      </c>
    </row>
    <row r="66" customFormat="false" ht="30" hidden="false" customHeight="true" outlineLevel="0" collapsed="false">
      <c r="A66" s="10" t="s">
        <v>109</v>
      </c>
      <c r="B66" s="10" t="s">
        <v>112</v>
      </c>
      <c r="C66" s="11" t="n">
        <v>32</v>
      </c>
      <c r="D66" s="12" t="n">
        <v>11</v>
      </c>
      <c r="E66" s="13" t="n">
        <f aca="false">D66/C66</f>
        <v>0.34375</v>
      </c>
      <c r="F66" s="14" t="n">
        <v>32</v>
      </c>
      <c r="G66" s="13" t="n">
        <f aca="false">D66/F66</f>
        <v>0.34375</v>
      </c>
      <c r="H66" s="15" t="n">
        <f aca="false">F66-C66</f>
        <v>0</v>
      </c>
      <c r="I66" s="11" t="n">
        <f aca="false">D66/0.3</f>
        <v>36.6666666666667</v>
      </c>
      <c r="J66" s="17" t="s">
        <v>23</v>
      </c>
    </row>
    <row r="67" customFormat="false" ht="30" hidden="false" customHeight="true" outlineLevel="0" collapsed="false">
      <c r="A67" s="2" t="s">
        <v>109</v>
      </c>
      <c r="B67" s="2" t="s">
        <v>113</v>
      </c>
      <c r="C67" s="3" t="n">
        <v>35</v>
      </c>
      <c r="D67" s="4" t="n">
        <v>13</v>
      </c>
      <c r="E67" s="5" t="n">
        <f aca="false">D67/C67</f>
        <v>0.371428571428571</v>
      </c>
      <c r="F67" s="6" t="n">
        <v>35</v>
      </c>
      <c r="G67" s="5" t="n">
        <f aca="false">D67/F67</f>
        <v>0.371428571428571</v>
      </c>
      <c r="H67" s="7" t="n">
        <f aca="false">F67-C67</f>
        <v>0</v>
      </c>
      <c r="I67" s="3" t="n">
        <f aca="false">D67/0.3</f>
        <v>43.3333333333333</v>
      </c>
      <c r="J67" s="9" t="s">
        <v>13</v>
      </c>
    </row>
    <row r="68" customFormat="false" ht="30" hidden="false" customHeight="true" outlineLevel="0" collapsed="false">
      <c r="A68" s="2" t="s">
        <v>114</v>
      </c>
      <c r="B68" s="2" t="s">
        <v>115</v>
      </c>
      <c r="C68" s="3" t="n">
        <v>32</v>
      </c>
      <c r="D68" s="4" t="n">
        <v>8</v>
      </c>
      <c r="E68" s="5" t="n">
        <f aca="false">D68/C68</f>
        <v>0.25</v>
      </c>
      <c r="F68" s="6" t="n">
        <v>32</v>
      </c>
      <c r="G68" s="5" t="n">
        <f aca="false">D68/F68</f>
        <v>0.25</v>
      </c>
      <c r="H68" s="7" t="n">
        <f aca="false">F68-C68</f>
        <v>0</v>
      </c>
      <c r="I68" s="3" t="n">
        <f aca="false">D68/0.3</f>
        <v>26.6666666666667</v>
      </c>
      <c r="J68" s="9" t="s">
        <v>116</v>
      </c>
    </row>
    <row r="69" customFormat="false" ht="30" hidden="false" customHeight="true" outlineLevel="0" collapsed="false">
      <c r="A69" s="2" t="s">
        <v>114</v>
      </c>
      <c r="B69" s="2" t="s">
        <v>117</v>
      </c>
      <c r="C69" s="3" t="n">
        <v>36</v>
      </c>
      <c r="D69" s="4" t="n">
        <v>9</v>
      </c>
      <c r="E69" s="5" t="n">
        <f aca="false">D69/C69</f>
        <v>0.25</v>
      </c>
      <c r="F69" s="6" t="n">
        <v>36</v>
      </c>
      <c r="G69" s="5" t="n">
        <f aca="false">D69/F69</f>
        <v>0.25</v>
      </c>
      <c r="H69" s="7" t="n">
        <f aca="false">F69-C69</f>
        <v>0</v>
      </c>
      <c r="I69" s="3" t="n">
        <f aca="false">D69/0.3</f>
        <v>30</v>
      </c>
      <c r="J69" s="9" t="s">
        <v>118</v>
      </c>
    </row>
    <row r="70" customFormat="false" ht="30" hidden="false" customHeight="true" outlineLevel="0" collapsed="false">
      <c r="A70" s="2" t="s">
        <v>114</v>
      </c>
      <c r="B70" s="2" t="s">
        <v>119</v>
      </c>
      <c r="C70" s="3" t="n">
        <v>42</v>
      </c>
      <c r="D70" s="4" t="n">
        <v>10.5</v>
      </c>
      <c r="E70" s="5" t="n">
        <f aca="false">D70/C70</f>
        <v>0.25</v>
      </c>
      <c r="F70" s="6" t="n">
        <v>42</v>
      </c>
      <c r="G70" s="5" t="n">
        <f aca="false">D70/F70</f>
        <v>0.25</v>
      </c>
      <c r="H70" s="7" t="n">
        <f aca="false">F70-C70</f>
        <v>0</v>
      </c>
      <c r="I70" s="3" t="n">
        <f aca="false">D70/0.3</f>
        <v>35</v>
      </c>
      <c r="J70" s="9" t="s">
        <v>120</v>
      </c>
    </row>
    <row r="71" customFormat="false" ht="30" hidden="false" customHeight="true" outlineLevel="0" collapsed="false">
      <c r="A71" s="2" t="s">
        <v>114</v>
      </c>
      <c r="B71" s="2" t="s">
        <v>121</v>
      </c>
      <c r="C71" s="3" t="n">
        <v>42</v>
      </c>
      <c r="D71" s="4" t="n">
        <v>14</v>
      </c>
      <c r="E71" s="5" t="n">
        <f aca="false">D71/C71</f>
        <v>0.333333333333333</v>
      </c>
      <c r="F71" s="6" t="n">
        <v>42</v>
      </c>
      <c r="G71" s="5" t="n">
        <f aca="false">D71/F71</f>
        <v>0.333333333333333</v>
      </c>
      <c r="H71" s="7" t="n">
        <f aca="false">F71-C71</f>
        <v>0</v>
      </c>
      <c r="I71" s="3" t="n">
        <f aca="false">D71/0.3</f>
        <v>46.6666666666667</v>
      </c>
      <c r="J71" s="9" t="s">
        <v>122</v>
      </c>
    </row>
    <row r="72" customFormat="false" ht="30" hidden="false" customHeight="true" outlineLevel="0" collapsed="false">
      <c r="A72" s="2" t="s">
        <v>114</v>
      </c>
      <c r="B72" s="2" t="s">
        <v>123</v>
      </c>
      <c r="C72" s="3" t="n">
        <v>44</v>
      </c>
      <c r="D72" s="4" t="n">
        <v>13.5</v>
      </c>
      <c r="E72" s="5" t="n">
        <f aca="false">D72/C72</f>
        <v>0.306818181818182</v>
      </c>
      <c r="F72" s="6" t="n">
        <v>44</v>
      </c>
      <c r="G72" s="5" t="n">
        <f aca="false">D72/F72</f>
        <v>0.306818181818182</v>
      </c>
      <c r="H72" s="7" t="n">
        <f aca="false">F72-C72</f>
        <v>0</v>
      </c>
      <c r="I72" s="3" t="n">
        <f aca="false">D72/0.3</f>
        <v>45</v>
      </c>
      <c r="J72" s="9" t="s">
        <v>124</v>
      </c>
    </row>
    <row r="73" customFormat="false" ht="30" hidden="false" customHeight="true" outlineLevel="0" collapsed="false">
      <c r="A73" s="2" t="s">
        <v>114</v>
      </c>
      <c r="B73" s="2" t="s">
        <v>125</v>
      </c>
      <c r="C73" s="3" t="n">
        <v>47</v>
      </c>
      <c r="D73" s="4" t="n">
        <v>17.5</v>
      </c>
      <c r="E73" s="5" t="n">
        <f aca="false">D73/C73</f>
        <v>0.372340425531915</v>
      </c>
      <c r="F73" s="6" t="n">
        <v>50</v>
      </c>
      <c r="G73" s="5" t="n">
        <f aca="false">D73/F73</f>
        <v>0.35</v>
      </c>
      <c r="H73" s="7" t="n">
        <f aca="false">F73-C73</f>
        <v>3</v>
      </c>
      <c r="I73" s="3" t="n">
        <f aca="false">D73/0.3</f>
        <v>58.3333333333333</v>
      </c>
      <c r="J73" s="9" t="s">
        <v>126</v>
      </c>
    </row>
    <row r="74" customFormat="false" ht="30" hidden="false" customHeight="true" outlineLevel="0" collapsed="false">
      <c r="A74" s="2" t="s">
        <v>114</v>
      </c>
      <c r="B74" s="2" t="s">
        <v>127</v>
      </c>
      <c r="C74" s="3" t="n">
        <v>48</v>
      </c>
      <c r="D74" s="4" t="n">
        <v>20</v>
      </c>
      <c r="E74" s="5" t="n">
        <f aca="false">D74/C74</f>
        <v>0.416666666666667</v>
      </c>
      <c r="F74" s="6" t="n">
        <v>57</v>
      </c>
      <c r="G74" s="5" t="n">
        <f aca="false">D74/F74</f>
        <v>0.350877192982456</v>
      </c>
      <c r="H74" s="7" t="n">
        <f aca="false">F74-C74</f>
        <v>9</v>
      </c>
      <c r="I74" s="3" t="n">
        <f aca="false">D74/0.3</f>
        <v>66.6666666666667</v>
      </c>
      <c r="J74" s="9" t="s">
        <v>128</v>
      </c>
    </row>
    <row r="75" customFormat="false" ht="30" hidden="false" customHeight="true" outlineLevel="0" collapsed="false">
      <c r="A75" s="2" t="s">
        <v>114</v>
      </c>
      <c r="B75" s="2" t="s">
        <v>129</v>
      </c>
      <c r="C75" s="3" t="n">
        <v>55</v>
      </c>
      <c r="D75" s="4" t="n">
        <v>25.5</v>
      </c>
      <c r="E75" s="5" t="n">
        <f aca="false">D75/C75</f>
        <v>0.463636363636364</v>
      </c>
      <c r="F75" s="6" t="n">
        <v>66</v>
      </c>
      <c r="G75" s="5" t="n">
        <f aca="false">D75/F75</f>
        <v>0.386363636363636</v>
      </c>
      <c r="H75" s="7" t="n">
        <f aca="false">F75-C75</f>
        <v>11</v>
      </c>
      <c r="I75" s="3" t="n">
        <f aca="false">D75/0.3</f>
        <v>85</v>
      </c>
      <c r="J75" s="9" t="s">
        <v>130</v>
      </c>
    </row>
    <row r="76" customFormat="false" ht="30" hidden="false" customHeight="true" outlineLevel="0" collapsed="false">
      <c r="A76" s="2" t="s">
        <v>114</v>
      </c>
      <c r="B76" s="2" t="s">
        <v>131</v>
      </c>
      <c r="C76" s="3" t="n">
        <v>55</v>
      </c>
      <c r="D76" s="4" t="n">
        <v>19</v>
      </c>
      <c r="E76" s="5" t="n">
        <f aca="false">D76/C76</f>
        <v>0.345454545454545</v>
      </c>
      <c r="F76" s="6" t="n">
        <v>55</v>
      </c>
      <c r="G76" s="5" t="n">
        <f aca="false">D76/F76</f>
        <v>0.345454545454545</v>
      </c>
      <c r="H76" s="7" t="n">
        <f aca="false">F76-C76</f>
        <v>0</v>
      </c>
      <c r="I76" s="3" t="n">
        <f aca="false">D76/0.3</f>
        <v>63.3333333333333</v>
      </c>
      <c r="J76" s="9" t="s">
        <v>132</v>
      </c>
    </row>
    <row r="77" customFormat="false" ht="30" hidden="false" customHeight="true" outlineLevel="0" collapsed="false">
      <c r="A77" s="2" t="s">
        <v>133</v>
      </c>
      <c r="B77" s="2" t="s">
        <v>134</v>
      </c>
      <c r="C77" s="3" t="n">
        <v>32</v>
      </c>
      <c r="D77" s="4" t="n">
        <v>12</v>
      </c>
      <c r="E77" s="5" t="n">
        <f aca="false">D77/C77</f>
        <v>0.375</v>
      </c>
      <c r="F77" s="6" t="n">
        <v>36</v>
      </c>
      <c r="G77" s="5" t="n">
        <f aca="false">D77/F77</f>
        <v>0.333333333333333</v>
      </c>
      <c r="H77" s="7" t="n">
        <f aca="false">F77-C77</f>
        <v>4</v>
      </c>
      <c r="I77" s="3" t="n">
        <f aca="false">D77/0.3</f>
        <v>40</v>
      </c>
      <c r="J77" s="9" t="s">
        <v>135</v>
      </c>
    </row>
    <row r="78" customFormat="false" ht="30" hidden="false" customHeight="true" outlineLevel="0" collapsed="false">
      <c r="A78" s="10" t="s">
        <v>133</v>
      </c>
      <c r="B78" s="10" t="s">
        <v>136</v>
      </c>
      <c r="C78" s="11" t="n">
        <v>34</v>
      </c>
      <c r="D78" s="12" t="n">
        <v>19</v>
      </c>
      <c r="E78" s="13" t="n">
        <f aca="false">D78/C78</f>
        <v>0.558823529411765</v>
      </c>
      <c r="F78" s="14" t="n">
        <v>48</v>
      </c>
      <c r="G78" s="13" t="n">
        <f aca="false">D78/F78</f>
        <v>0.395833333333333</v>
      </c>
      <c r="H78" s="15" t="n">
        <f aca="false">F78-C78</f>
        <v>14</v>
      </c>
      <c r="I78" s="11" t="n">
        <f aca="false">D78/0.3</f>
        <v>63.3333333333333</v>
      </c>
      <c r="J78" s="17" t="s">
        <v>137</v>
      </c>
    </row>
    <row r="79" customFormat="false" ht="30" hidden="false" customHeight="true" outlineLevel="0" collapsed="false">
      <c r="A79" s="2" t="s">
        <v>133</v>
      </c>
      <c r="B79" s="2" t="s">
        <v>138</v>
      </c>
      <c r="C79" s="3" t="n">
        <v>36</v>
      </c>
      <c r="D79" s="4" t="n">
        <v>15</v>
      </c>
      <c r="E79" s="5" t="n">
        <f aca="false">D79/C79</f>
        <v>0.416666666666667</v>
      </c>
      <c r="F79" s="6" t="n">
        <v>42</v>
      </c>
      <c r="G79" s="5" t="n">
        <f aca="false">D79/F79</f>
        <v>0.357142857142857</v>
      </c>
      <c r="H79" s="7" t="n">
        <f aca="false">F79-C79</f>
        <v>6</v>
      </c>
      <c r="I79" s="3" t="n">
        <f aca="false">D79/0.3</f>
        <v>50</v>
      </c>
      <c r="J79" s="9" t="s">
        <v>139</v>
      </c>
    </row>
    <row r="80" customFormat="false" ht="30" hidden="false" customHeight="true" outlineLevel="0" collapsed="false">
      <c r="A80" s="2" t="s">
        <v>133</v>
      </c>
      <c r="B80" s="2" t="s">
        <v>140</v>
      </c>
      <c r="C80" s="3" t="n">
        <v>38</v>
      </c>
      <c r="D80" s="4" t="n">
        <v>17</v>
      </c>
      <c r="E80" s="5" t="n">
        <f aca="false">D80/C80</f>
        <v>0.447368421052632</v>
      </c>
      <c r="F80" s="6" t="n">
        <v>46</v>
      </c>
      <c r="G80" s="5" t="n">
        <f aca="false">D80/F80</f>
        <v>0.369565217391304</v>
      </c>
      <c r="H80" s="7" t="n">
        <f aca="false">F80-C80</f>
        <v>8</v>
      </c>
      <c r="I80" s="3" t="n">
        <f aca="false">D80/0.3</f>
        <v>56.6666666666667</v>
      </c>
      <c r="J80" s="9" t="s">
        <v>141</v>
      </c>
    </row>
    <row r="81" customFormat="false" ht="30" hidden="false" customHeight="true" outlineLevel="0" collapsed="false">
      <c r="A81" s="2" t="s">
        <v>133</v>
      </c>
      <c r="B81" s="2" t="s">
        <v>142</v>
      </c>
      <c r="C81" s="3" t="n">
        <v>45</v>
      </c>
      <c r="D81" s="4" t="n">
        <v>19</v>
      </c>
      <c r="E81" s="5" t="n">
        <f aca="false">D81/C81</f>
        <v>0.422222222222222</v>
      </c>
      <c r="F81" s="18" t="s">
        <v>143</v>
      </c>
      <c r="G81" s="2" t="s">
        <v>144</v>
      </c>
      <c r="H81" s="2" t="s">
        <v>144</v>
      </c>
      <c r="I81" s="3" t="n">
        <f aca="false">D81/0.3</f>
        <v>63.3333333333333</v>
      </c>
      <c r="J81" s="9" t="s">
        <v>145</v>
      </c>
    </row>
    <row r="82" customFormat="false" ht="30" hidden="false" customHeight="true" outlineLevel="0" collapsed="false">
      <c r="A82" s="2" t="s">
        <v>146</v>
      </c>
      <c r="B82" s="2" t="s">
        <v>147</v>
      </c>
      <c r="C82" s="3" t="n">
        <v>38</v>
      </c>
      <c r="D82" s="4" t="n">
        <v>14</v>
      </c>
      <c r="E82" s="5" t="n">
        <f aca="false">D82/C82</f>
        <v>0.368421052631579</v>
      </c>
      <c r="F82" s="6" t="n">
        <v>38</v>
      </c>
      <c r="G82" s="5" t="n">
        <f aca="false">D82/F82</f>
        <v>0.368421052631579</v>
      </c>
      <c r="H82" s="7" t="n">
        <f aca="false">F82-C82</f>
        <v>0</v>
      </c>
      <c r="I82" s="3" t="n">
        <f aca="false">D82/0.3</f>
        <v>46.6666666666667</v>
      </c>
      <c r="J82" s="9" t="s">
        <v>84</v>
      </c>
    </row>
    <row r="83" customFormat="false" ht="30" hidden="false" customHeight="true" outlineLevel="0" collapsed="false">
      <c r="A83" s="2" t="s">
        <v>146</v>
      </c>
      <c r="B83" s="2" t="s">
        <v>148</v>
      </c>
      <c r="C83" s="3" t="n">
        <v>38</v>
      </c>
      <c r="D83" s="4" t="n">
        <v>16</v>
      </c>
      <c r="E83" s="5" t="n">
        <f aca="false">D83/C83</f>
        <v>0.421052631578947</v>
      </c>
      <c r="F83" s="6" t="n">
        <v>42</v>
      </c>
      <c r="G83" s="5" t="n">
        <f aca="false">D83/F83</f>
        <v>0.380952380952381</v>
      </c>
      <c r="H83" s="7" t="n">
        <f aca="false">F83-C83</f>
        <v>4</v>
      </c>
      <c r="I83" s="3" t="n">
        <f aca="false">D83/0.3</f>
        <v>53.3333333333333</v>
      </c>
      <c r="J83" s="9" t="s">
        <v>149</v>
      </c>
    </row>
    <row r="84" customFormat="false" ht="30" hidden="false" customHeight="true" outlineLevel="0" collapsed="false">
      <c r="A84" s="2" t="s">
        <v>146</v>
      </c>
      <c r="B84" s="2" t="s">
        <v>150</v>
      </c>
      <c r="C84" s="3" t="n">
        <v>38</v>
      </c>
      <c r="D84" s="4" t="n">
        <v>13</v>
      </c>
      <c r="E84" s="5" t="n">
        <f aca="false">D84/C84</f>
        <v>0.342105263157895</v>
      </c>
      <c r="F84" s="6" t="n">
        <v>36</v>
      </c>
      <c r="G84" s="5" t="n">
        <f aca="false">D84/F84</f>
        <v>0.361111111111111</v>
      </c>
      <c r="H84" s="7" t="n">
        <f aca="false">F84-C84</f>
        <v>-2</v>
      </c>
      <c r="I84" s="3" t="n">
        <f aca="false">D84/0.3</f>
        <v>43.3333333333333</v>
      </c>
      <c r="J84" s="9" t="s">
        <v>151</v>
      </c>
    </row>
    <row r="85" customFormat="false" ht="30" hidden="false" customHeight="true" outlineLevel="0" collapsed="false">
      <c r="A85" s="2" t="s">
        <v>146</v>
      </c>
      <c r="B85" s="2" t="s">
        <v>152</v>
      </c>
      <c r="C85" s="3" t="n">
        <v>38</v>
      </c>
      <c r="D85" s="4" t="n">
        <v>15</v>
      </c>
      <c r="E85" s="5" t="n">
        <f aca="false">D85/C85</f>
        <v>0.394736842105263</v>
      </c>
      <c r="F85" s="6" t="n">
        <v>40</v>
      </c>
      <c r="G85" s="5" t="n">
        <f aca="false">D85/F85</f>
        <v>0.375</v>
      </c>
      <c r="H85" s="7" t="n">
        <f aca="false">F85-C85</f>
        <v>2</v>
      </c>
      <c r="I85" s="3" t="n">
        <f aca="false">D85/0.3</f>
        <v>50</v>
      </c>
      <c r="J85" s="9" t="s">
        <v>153</v>
      </c>
    </row>
    <row r="86" customFormat="false" ht="30" hidden="false" customHeight="true" outlineLevel="0" collapsed="false">
      <c r="A86" s="2" t="s">
        <v>146</v>
      </c>
      <c r="B86" s="2" t="s">
        <v>154</v>
      </c>
      <c r="C86" s="3" t="n">
        <v>42</v>
      </c>
      <c r="D86" s="4" t="n">
        <v>16</v>
      </c>
      <c r="E86" s="5" t="n">
        <f aca="false">D86/C86</f>
        <v>0.380952380952381</v>
      </c>
      <c r="F86" s="18" t="s">
        <v>155</v>
      </c>
      <c r="G86" s="2" t="s">
        <v>144</v>
      </c>
      <c r="H86" s="2" t="s">
        <v>144</v>
      </c>
      <c r="I86" s="3" t="n">
        <f aca="false">D86/0.3</f>
        <v>53.3333333333333</v>
      </c>
      <c r="J86" s="9" t="s">
        <v>156</v>
      </c>
    </row>
    <row r="87" customFormat="false" ht="30" hidden="false" customHeight="true" outlineLevel="0" collapsed="false">
      <c r="A87" s="10" t="s">
        <v>157</v>
      </c>
      <c r="B87" s="10" t="s">
        <v>158</v>
      </c>
      <c r="C87" s="11" t="n">
        <v>42</v>
      </c>
      <c r="D87" s="12" t="n">
        <v>8</v>
      </c>
      <c r="E87" s="13" t="n">
        <f aca="false">D87/C87</f>
        <v>0.19047619047619</v>
      </c>
      <c r="F87" s="14" t="n">
        <v>42</v>
      </c>
      <c r="G87" s="13" t="n">
        <f aca="false">D87/F87</f>
        <v>0.19047619047619</v>
      </c>
      <c r="H87" s="15" t="n">
        <f aca="false">F87-C87</f>
        <v>0</v>
      </c>
      <c r="I87" s="11" t="n">
        <f aca="false">D87/0.3</f>
        <v>26.6666666666667</v>
      </c>
      <c r="J87" s="17" t="s">
        <v>105</v>
      </c>
    </row>
    <row r="88" customFormat="false" ht="30" hidden="false" customHeight="true" outlineLevel="0" collapsed="false">
      <c r="A88" s="2" t="s">
        <v>157</v>
      </c>
      <c r="B88" s="2" t="s">
        <v>159</v>
      </c>
      <c r="C88" s="3" t="n">
        <v>42</v>
      </c>
      <c r="D88" s="4" t="n">
        <v>7</v>
      </c>
      <c r="E88" s="5" t="n">
        <f aca="false">D88/C88</f>
        <v>0.166666666666667</v>
      </c>
      <c r="F88" s="6" t="n">
        <v>42</v>
      </c>
      <c r="G88" s="5" t="n">
        <f aca="false">D88/F88</f>
        <v>0.166666666666667</v>
      </c>
      <c r="H88" s="7" t="n">
        <f aca="false">F88-C88</f>
        <v>0</v>
      </c>
      <c r="I88" s="3" t="n">
        <f aca="false">D88/0.3</f>
        <v>23.3333333333333</v>
      </c>
      <c r="J88" s="9" t="s">
        <v>42</v>
      </c>
    </row>
    <row r="89" customFormat="false" ht="30" hidden="false" customHeight="true" outlineLevel="0" collapsed="false">
      <c r="A89" s="2" t="s">
        <v>157</v>
      </c>
      <c r="B89" s="2" t="s">
        <v>160</v>
      </c>
      <c r="C89" s="3" t="n">
        <v>45</v>
      </c>
      <c r="D89" s="4" t="n">
        <v>10</v>
      </c>
      <c r="E89" s="5" t="n">
        <f aca="false">D89/C89</f>
        <v>0.222222222222222</v>
      </c>
      <c r="F89" s="6" t="n">
        <v>45</v>
      </c>
      <c r="G89" s="5" t="n">
        <f aca="false">D89/F89</f>
        <v>0.222222222222222</v>
      </c>
      <c r="H89" s="7" t="n">
        <f aca="false">F89-C89</f>
        <v>0</v>
      </c>
      <c r="I89" s="3" t="n">
        <f aca="false">D89/0.3</f>
        <v>33.3333333333333</v>
      </c>
      <c r="J89" s="9" t="s">
        <v>108</v>
      </c>
    </row>
    <row r="90" customFormat="false" ht="30" hidden="false" customHeight="true" outlineLevel="0" collapsed="false">
      <c r="A90" s="2" t="s">
        <v>157</v>
      </c>
      <c r="B90" s="2" t="s">
        <v>161</v>
      </c>
      <c r="C90" s="3" t="n">
        <v>45</v>
      </c>
      <c r="D90" s="4" t="n">
        <v>15</v>
      </c>
      <c r="E90" s="5" t="n">
        <f aca="false">D90/C90</f>
        <v>0.333333333333333</v>
      </c>
      <c r="F90" s="6" t="n">
        <v>50</v>
      </c>
      <c r="G90" s="5" t="n">
        <f aca="false">D90/F90</f>
        <v>0.3</v>
      </c>
      <c r="H90" s="7" t="n">
        <f aca="false">F90-C90</f>
        <v>5</v>
      </c>
      <c r="I90" s="3" t="n">
        <f aca="false">D90/0.3</f>
        <v>50</v>
      </c>
      <c r="J90" s="9" t="s">
        <v>162</v>
      </c>
    </row>
    <row r="91" customFormat="false" ht="30" hidden="false" customHeight="true" outlineLevel="0" collapsed="false">
      <c r="A91" s="2" t="s">
        <v>163</v>
      </c>
      <c r="B91" s="2" t="s">
        <v>164</v>
      </c>
      <c r="C91" s="3" t="n">
        <v>38</v>
      </c>
      <c r="D91" s="4" t="n">
        <v>10.5</v>
      </c>
      <c r="E91" s="5" t="n">
        <f aca="false">D91/C91</f>
        <v>0.276315789473684</v>
      </c>
      <c r="F91" s="6" t="n">
        <v>38</v>
      </c>
      <c r="G91" s="5" t="n">
        <f aca="false">D91/F91</f>
        <v>0.276315789473684</v>
      </c>
      <c r="H91" s="7" t="n">
        <f aca="false">F91-C91</f>
        <v>0</v>
      </c>
      <c r="I91" s="3" t="n">
        <f aca="false">D91/0.3</f>
        <v>35</v>
      </c>
      <c r="J91" s="9" t="s">
        <v>13</v>
      </c>
    </row>
    <row r="92" customFormat="false" ht="30" hidden="false" customHeight="true" outlineLevel="0" collapsed="false">
      <c r="A92" s="10" t="s">
        <v>163</v>
      </c>
      <c r="B92" s="10" t="s">
        <v>165</v>
      </c>
      <c r="C92" s="11" t="n">
        <v>40</v>
      </c>
      <c r="D92" s="12" t="n">
        <v>12.5</v>
      </c>
      <c r="E92" s="13" t="n">
        <f aca="false">D92/C92</f>
        <v>0.3125</v>
      </c>
      <c r="F92" s="14" t="n">
        <v>40</v>
      </c>
      <c r="G92" s="13" t="n">
        <f aca="false">D92/F92</f>
        <v>0.3125</v>
      </c>
      <c r="H92" s="15" t="n">
        <f aca="false">F92-C92</f>
        <v>0</v>
      </c>
      <c r="I92" s="11" t="n">
        <f aca="false">D92/0.3</f>
        <v>41.6666666666667</v>
      </c>
      <c r="J92" s="17" t="s">
        <v>23</v>
      </c>
    </row>
    <row r="93" customFormat="false" ht="30" hidden="false" customHeight="true" outlineLevel="0" collapsed="false">
      <c r="A93" s="2" t="s">
        <v>163</v>
      </c>
      <c r="B93" s="2" t="s">
        <v>166</v>
      </c>
      <c r="C93" s="3" t="n">
        <v>40</v>
      </c>
      <c r="D93" s="4" t="n">
        <v>12</v>
      </c>
      <c r="E93" s="5" t="n">
        <f aca="false">D93/C93</f>
        <v>0.3</v>
      </c>
      <c r="F93" s="6" t="n">
        <v>40</v>
      </c>
      <c r="G93" s="5" t="n">
        <f aca="false">D93/F93</f>
        <v>0.3</v>
      </c>
      <c r="H93" s="7" t="n">
        <f aca="false">F93-C93</f>
        <v>0</v>
      </c>
      <c r="I93" s="3" t="n">
        <f aca="false">D93/0.3</f>
        <v>40</v>
      </c>
      <c r="J93" s="9" t="s">
        <v>13</v>
      </c>
    </row>
    <row r="94" customFormat="false" ht="30" hidden="false" customHeight="true" outlineLevel="0" collapsed="false">
      <c r="A94" s="2" t="s">
        <v>163</v>
      </c>
      <c r="B94" s="2" t="s">
        <v>167</v>
      </c>
      <c r="C94" s="3" t="n">
        <v>42</v>
      </c>
      <c r="D94" s="4" t="n">
        <v>14.5</v>
      </c>
      <c r="E94" s="5" t="n">
        <f aca="false">D94/C94</f>
        <v>0.345238095238095</v>
      </c>
      <c r="F94" s="6" t="n">
        <v>42</v>
      </c>
      <c r="G94" s="5" t="n">
        <f aca="false">D94/F94</f>
        <v>0.345238095238095</v>
      </c>
      <c r="H94" s="7" t="n">
        <f aca="false">F94-C94</f>
        <v>0</v>
      </c>
      <c r="I94" s="3" t="n">
        <f aca="false">D94/0.3</f>
        <v>48.3333333333333</v>
      </c>
      <c r="J94" s="9" t="s">
        <v>84</v>
      </c>
    </row>
    <row r="95" customFormat="false" ht="30" hidden="false" customHeight="true" outlineLevel="0" collapsed="false">
      <c r="A95" s="2" t="s">
        <v>168</v>
      </c>
      <c r="B95" s="2" t="s">
        <v>169</v>
      </c>
      <c r="C95" s="3" t="n">
        <v>27</v>
      </c>
      <c r="D95" s="4" t="n">
        <v>7.5</v>
      </c>
      <c r="E95" s="5" t="n">
        <f aca="false">D95/C95</f>
        <v>0.277777777777778</v>
      </c>
      <c r="F95" s="6" t="n">
        <v>27</v>
      </c>
      <c r="G95" s="5" t="n">
        <f aca="false">D95/F95</f>
        <v>0.277777777777778</v>
      </c>
      <c r="H95" s="7" t="n">
        <f aca="false">F95-C95</f>
        <v>0</v>
      </c>
      <c r="I95" s="3" t="n">
        <f aca="false">D95/0.3</f>
        <v>25</v>
      </c>
      <c r="J95" s="9" t="s">
        <v>13</v>
      </c>
    </row>
    <row r="96" customFormat="false" ht="30" hidden="false" customHeight="true" outlineLevel="0" collapsed="false">
      <c r="A96" s="2" t="s">
        <v>168</v>
      </c>
      <c r="B96" s="2" t="s">
        <v>170</v>
      </c>
      <c r="C96" s="3" t="n">
        <v>33</v>
      </c>
      <c r="D96" s="4" t="n">
        <v>13.5</v>
      </c>
      <c r="E96" s="5" t="n">
        <f aca="false">D96/C96</f>
        <v>0.409090909090909</v>
      </c>
      <c r="F96" s="6" t="n">
        <v>36</v>
      </c>
      <c r="G96" s="5" t="n">
        <f aca="false">D96/F96</f>
        <v>0.375</v>
      </c>
      <c r="H96" s="7" t="n">
        <f aca="false">F96-C96</f>
        <v>3</v>
      </c>
      <c r="I96" s="3" t="n">
        <f aca="false">D96/0.3</f>
        <v>45</v>
      </c>
      <c r="J96" s="9" t="s">
        <v>171</v>
      </c>
    </row>
    <row r="97" customFormat="false" ht="30" hidden="false" customHeight="true" outlineLevel="0" collapsed="false">
      <c r="A97" s="10" t="s">
        <v>168</v>
      </c>
      <c r="B97" s="10" t="s">
        <v>172</v>
      </c>
      <c r="C97" s="11" t="n">
        <v>36</v>
      </c>
      <c r="D97" s="12" t="n">
        <v>15</v>
      </c>
      <c r="E97" s="13" t="n">
        <f aca="false">D97/C97</f>
        <v>0.416666666666667</v>
      </c>
      <c r="F97" s="14" t="n">
        <v>40</v>
      </c>
      <c r="G97" s="13" t="n">
        <f aca="false">D97/F97</f>
        <v>0.375</v>
      </c>
      <c r="H97" s="15" t="n">
        <f aca="false">F97-C97</f>
        <v>4</v>
      </c>
      <c r="I97" s="11" t="n">
        <f aca="false">D97/0.3</f>
        <v>50</v>
      </c>
      <c r="J97" s="17" t="s">
        <v>173</v>
      </c>
    </row>
    <row r="98" customFormat="false" ht="30" hidden="false" customHeight="true" outlineLevel="0" collapsed="false">
      <c r="A98" s="2" t="s">
        <v>168</v>
      </c>
      <c r="B98" s="2" t="s">
        <v>174</v>
      </c>
      <c r="C98" s="3" t="n">
        <v>55</v>
      </c>
      <c r="D98" s="4" t="n">
        <v>30</v>
      </c>
      <c r="E98" s="5" t="n">
        <f aca="false">D98/C98</f>
        <v>0.545454545454545</v>
      </c>
      <c r="F98" s="6" t="n">
        <v>65</v>
      </c>
      <c r="G98" s="5" t="n">
        <f aca="false">D98/F98</f>
        <v>0.461538461538462</v>
      </c>
      <c r="H98" s="7" t="n">
        <f aca="false">F98-C98</f>
        <v>10</v>
      </c>
      <c r="I98" s="3" t="n">
        <f aca="false">D98/0.3</f>
        <v>100</v>
      </c>
      <c r="J98" s="9" t="s">
        <v>175</v>
      </c>
    </row>
    <row r="99" customFormat="false" ht="30" hidden="false" customHeight="true" outlineLevel="0" collapsed="false">
      <c r="A99" s="2" t="s">
        <v>168</v>
      </c>
      <c r="B99" s="2" t="s">
        <v>176</v>
      </c>
      <c r="C99" s="3" t="n">
        <v>55</v>
      </c>
      <c r="D99" s="4" t="n">
        <v>28</v>
      </c>
      <c r="E99" s="5" t="n">
        <f aca="false">D99/C99</f>
        <v>0.509090909090909</v>
      </c>
      <c r="F99" s="6" t="n">
        <v>62</v>
      </c>
      <c r="G99" s="5" t="n">
        <f aca="false">D99/F99</f>
        <v>0.451612903225806</v>
      </c>
      <c r="H99" s="7" t="n">
        <f aca="false">F99-C99</f>
        <v>7</v>
      </c>
      <c r="I99" s="3" t="n">
        <f aca="false">D99/0.3</f>
        <v>93.3333333333333</v>
      </c>
      <c r="J99" s="9" t="s">
        <v>177</v>
      </c>
    </row>
    <row r="100" customFormat="false" ht="30" hidden="false" customHeight="true" outlineLevel="0" collapsed="false">
      <c r="A100" s="2" t="s">
        <v>178</v>
      </c>
      <c r="B100" s="2" t="s">
        <v>179</v>
      </c>
      <c r="C100" s="3" t="n">
        <v>45</v>
      </c>
      <c r="D100" s="4" t="n">
        <v>13</v>
      </c>
      <c r="E100" s="5" t="n">
        <f aca="false">D100/C100</f>
        <v>0.288888888888889</v>
      </c>
      <c r="F100" s="6" t="n">
        <v>45</v>
      </c>
      <c r="G100" s="5" t="n">
        <f aca="false">D100/F100</f>
        <v>0.288888888888889</v>
      </c>
      <c r="H100" s="7" t="n">
        <f aca="false">F100-C100</f>
        <v>0</v>
      </c>
      <c r="I100" s="3" t="n">
        <f aca="false">D100/0.3</f>
        <v>43.3333333333333</v>
      </c>
      <c r="J100" s="9" t="s">
        <v>13</v>
      </c>
    </row>
    <row r="101" customFormat="false" ht="30" hidden="false" customHeight="true" outlineLevel="0" collapsed="false">
      <c r="A101" s="2" t="s">
        <v>178</v>
      </c>
      <c r="B101" s="2" t="s">
        <v>180</v>
      </c>
      <c r="C101" s="3" t="n">
        <v>50</v>
      </c>
      <c r="D101" s="4" t="n">
        <v>13.5</v>
      </c>
      <c r="E101" s="5" t="n">
        <f aca="false">D101/C101</f>
        <v>0.27</v>
      </c>
      <c r="F101" s="6" t="n">
        <v>50</v>
      </c>
      <c r="G101" s="5" t="n">
        <f aca="false">D101/F101</f>
        <v>0.27</v>
      </c>
      <c r="H101" s="7" t="n">
        <f aca="false">F101-C101</f>
        <v>0</v>
      </c>
      <c r="I101" s="3" t="n">
        <f aca="false">D101/0.3</f>
        <v>45</v>
      </c>
      <c r="J101" s="9" t="s">
        <v>13</v>
      </c>
    </row>
    <row r="102" customFormat="false" ht="30" hidden="false" customHeight="true" outlineLevel="0" collapsed="false">
      <c r="A102" s="10" t="s">
        <v>178</v>
      </c>
      <c r="B102" s="10" t="s">
        <v>181</v>
      </c>
      <c r="C102" s="11" t="n">
        <v>55</v>
      </c>
      <c r="D102" s="12" t="n">
        <v>13</v>
      </c>
      <c r="E102" s="13" t="n">
        <f aca="false">D102/C102</f>
        <v>0.236363636363636</v>
      </c>
      <c r="F102" s="14" t="n">
        <v>55</v>
      </c>
      <c r="G102" s="13" t="n">
        <f aca="false">D102/F102</f>
        <v>0.236363636363636</v>
      </c>
      <c r="H102" s="15" t="n">
        <f aca="false">F102-C102</f>
        <v>0</v>
      </c>
      <c r="I102" s="11" t="n">
        <f aca="false">D102/0.3</f>
        <v>43.3333333333333</v>
      </c>
      <c r="J102" s="17" t="s">
        <v>23</v>
      </c>
    </row>
    <row r="103" customFormat="false" ht="30" hidden="false" customHeight="true" outlineLevel="0" collapsed="false">
      <c r="A103" s="2" t="s">
        <v>178</v>
      </c>
      <c r="B103" s="2" t="s">
        <v>182</v>
      </c>
      <c r="C103" s="3" t="n">
        <v>60</v>
      </c>
      <c r="D103" s="4" t="n">
        <v>24</v>
      </c>
      <c r="E103" s="5" t="n">
        <f aca="false">D103/C103</f>
        <v>0.4</v>
      </c>
      <c r="F103" s="6" t="n">
        <v>68</v>
      </c>
      <c r="G103" s="5" t="n">
        <f aca="false">D103/F103</f>
        <v>0.352941176470588</v>
      </c>
      <c r="H103" s="7" t="n">
        <f aca="false">F103-C103</f>
        <v>8</v>
      </c>
      <c r="I103" s="3" t="n">
        <f aca="false">D103/0.3</f>
        <v>80</v>
      </c>
      <c r="J103" s="9" t="s">
        <v>183</v>
      </c>
    </row>
    <row r="104" customFormat="false" ht="30" hidden="false" customHeight="true" outlineLevel="0" collapsed="false">
      <c r="A104" s="2" t="s">
        <v>178</v>
      </c>
      <c r="B104" s="2" t="s">
        <v>184</v>
      </c>
      <c r="C104" s="3" t="n">
        <v>65</v>
      </c>
      <c r="D104" s="4" t="n">
        <v>14</v>
      </c>
      <c r="E104" s="5" t="n">
        <f aca="false">D104/C104</f>
        <v>0.215384615384615</v>
      </c>
      <c r="F104" s="6" t="n">
        <v>65</v>
      </c>
      <c r="G104" s="5" t="n">
        <f aca="false">D104/F104</f>
        <v>0.215384615384615</v>
      </c>
      <c r="H104" s="7" t="n">
        <f aca="false">F104-C104</f>
        <v>0</v>
      </c>
      <c r="I104" s="3" t="n">
        <f aca="false">D104/0.3</f>
        <v>46.6666666666667</v>
      </c>
      <c r="J104" s="9" t="s">
        <v>185</v>
      </c>
    </row>
    <row r="105" customFormat="false" ht="30" hidden="false" customHeight="true" outlineLevel="0" collapsed="false">
      <c r="A105" s="2" t="s">
        <v>186</v>
      </c>
      <c r="B105" s="2" t="s">
        <v>187</v>
      </c>
      <c r="C105" s="3" t="n">
        <v>18</v>
      </c>
      <c r="D105" s="4" t="n">
        <v>4</v>
      </c>
      <c r="E105" s="5" t="n">
        <f aca="false">D105/C105</f>
        <v>0.222222222222222</v>
      </c>
      <c r="F105" s="6" t="n">
        <v>18</v>
      </c>
      <c r="G105" s="5" t="n">
        <f aca="false">D105/F105</f>
        <v>0.222222222222222</v>
      </c>
      <c r="H105" s="7" t="n">
        <f aca="false">F105-C105</f>
        <v>0</v>
      </c>
      <c r="I105" s="3" t="n">
        <f aca="false">D105/0.3</f>
        <v>13.3333333333333</v>
      </c>
      <c r="J105" s="9" t="s">
        <v>13</v>
      </c>
    </row>
    <row r="106" customFormat="false" ht="30" hidden="false" customHeight="true" outlineLevel="0" collapsed="false">
      <c r="A106" s="10" t="s">
        <v>186</v>
      </c>
      <c r="B106" s="10" t="s">
        <v>188</v>
      </c>
      <c r="C106" s="11" t="n">
        <v>25</v>
      </c>
      <c r="D106" s="12" t="n">
        <v>7.5</v>
      </c>
      <c r="E106" s="13" t="n">
        <f aca="false">D106/C106</f>
        <v>0.3</v>
      </c>
      <c r="F106" s="14" t="n">
        <v>25</v>
      </c>
      <c r="G106" s="13" t="n">
        <f aca="false">D106/F106</f>
        <v>0.3</v>
      </c>
      <c r="H106" s="15" t="n">
        <f aca="false">F106-C106</f>
        <v>0</v>
      </c>
      <c r="I106" s="11" t="n">
        <f aca="false">D106/0.3</f>
        <v>25</v>
      </c>
      <c r="J106" s="17" t="s">
        <v>23</v>
      </c>
    </row>
    <row r="107" customFormat="false" ht="30" hidden="false" customHeight="true" outlineLevel="0" collapsed="false">
      <c r="A107" s="2" t="s">
        <v>186</v>
      </c>
      <c r="B107" s="2" t="s">
        <v>189</v>
      </c>
      <c r="C107" s="3" t="n">
        <v>28</v>
      </c>
      <c r="D107" s="4" t="n">
        <v>8.5</v>
      </c>
      <c r="E107" s="5" t="n">
        <f aca="false">D107/C107</f>
        <v>0.303571428571429</v>
      </c>
      <c r="F107" s="6" t="n">
        <v>28</v>
      </c>
      <c r="G107" s="5" t="n">
        <f aca="false">D107/F107</f>
        <v>0.303571428571429</v>
      </c>
      <c r="H107" s="7" t="n">
        <f aca="false">F107-C107</f>
        <v>0</v>
      </c>
      <c r="I107" s="3" t="n">
        <f aca="false">D107/0.3</f>
        <v>28.3333333333333</v>
      </c>
      <c r="J107" s="9"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6.15" hidden="false" customHeight="false" outlineLevel="0" collapsed="false">
      <c r="A1" s="19" t="s">
        <v>190</v>
      </c>
    </row>
    <row r="2" customFormat="false" ht="26.85" hidden="false" customHeight="false" outlineLevel="0" collapsed="false">
      <c r="A2" s="20" t="s">
        <v>191</v>
      </c>
    </row>
    <row r="3" customFormat="false" ht="39.55" hidden="false" customHeight="false" outlineLevel="0" collapsed="false">
      <c r="A3" s="20" t="s">
        <v>192</v>
      </c>
    </row>
    <row r="4" customFormat="false" ht="39.55" hidden="false" customHeight="false" outlineLevel="0" collapsed="false">
      <c r="A4" s="20" t="s">
        <v>193</v>
      </c>
    </row>
    <row r="5" customFormat="false" ht="26.85" hidden="false" customHeight="false" outlineLevel="0" collapsed="false">
      <c r="A5" s="20" t="s">
        <v>194</v>
      </c>
    </row>
    <row r="6" customFormat="false" ht="52.2" hidden="false" customHeight="false" outlineLevel="0" collapsed="false">
      <c r="A6" s="20" t="s">
        <v>195</v>
      </c>
    </row>
    <row r="7" customFormat="false" ht="52.2" hidden="false" customHeight="false" outlineLevel="0" collapsed="false">
      <c r="A7" s="20" t="s">
        <v>196</v>
      </c>
    </row>
    <row r="8" customFormat="false" ht="15" hidden="false" customHeight="false" outlineLevel="0" collapsed="false">
      <c r="A8" s="20"/>
    </row>
    <row r="9" customFormat="false" ht="16.15" hidden="false" customHeight="false" outlineLevel="0" collapsed="false">
      <c r="A9" s="19" t="s">
        <v>197</v>
      </c>
    </row>
    <row r="10" customFormat="false" ht="90.25" hidden="false" customHeight="false" outlineLevel="0" collapsed="false">
      <c r="A10" s="20" t="s">
        <v>198</v>
      </c>
    </row>
    <row r="11" customFormat="false" ht="15" hidden="false" customHeight="false" outlineLevel="0" collapsed="false">
      <c r="A11" s="20"/>
    </row>
    <row r="12" customFormat="false" ht="16.15" hidden="false" customHeight="false" outlineLevel="0" collapsed="false">
      <c r="A12" s="19" t="s">
        <v>199</v>
      </c>
    </row>
    <row r="13" customFormat="false" ht="15" hidden="false" customHeight="false" outlineLevel="0" collapsed="false">
      <c r="A13" s="20" t="s">
        <v>200</v>
      </c>
    </row>
    <row r="14" customFormat="false" ht="15" hidden="false" customHeight="false" outlineLevel="0" collapsed="false">
      <c r="A14" s="20" t="s">
        <v>201</v>
      </c>
    </row>
    <row r="15" customFormat="false" ht="15" hidden="false" customHeight="false" outlineLevel="0" collapsed="false">
      <c r="A15" s="20" t="s">
        <v>202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2026-09-09T18:11:50Z</dcterms:created>
  <dc:creator>openpyxl</dc:creator>
  <dc:description/>
  <dc:language>en-US</dc:language>
  <cp:lastModifiedBy/>
  <dcterms:modified xsi:type="dcterms:W3CDTF">2026-09-09T18:11:50Z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